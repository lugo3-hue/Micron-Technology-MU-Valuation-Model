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7F2F5DE9-BBC9-4BC1-B3B0-631B7C093580}" xr6:coauthVersionLast="47" xr6:coauthVersionMax="47" xr10:uidLastSave="{00000000-0000-0000-0000-000000000000}"/>
  <bookViews>
    <workbookView xWindow="0" yWindow="0" windowWidth="16384" windowHeight="8192" tabRatio="500" xr2:uid="{00000000-000D-0000-FFFF-FFFF00000000}"/>
  </bookViews>
  <sheets>
    <sheet name="Summary" sheetId="1" r:id="rId1"/>
    <sheet name="Assumptions" sheetId="2" r:id="rId2"/>
    <sheet name="FY26 Bridge" sheetId="3" r:id="rId3"/>
    <sheet name="Statements" sheetId="4" r:id="rId4"/>
    <sheet name="DCF" sheetId="5" r:id="rId5"/>
    <sheet name="Checks" sheetId="6" r:id="rId6"/>
    <sheet name="Sources" sheetId="7" r:id="rId7"/>
  </sheets>
  <calcPr calcId="191028" iterateCount="0"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 l="1"/>
  <c r="E15" i="1"/>
  <c r="E9" i="1"/>
  <c r="C45" i="5"/>
  <c r="C41" i="5"/>
  <c r="C31" i="5"/>
  <c r="C27" i="5"/>
  <c r="C21" i="5"/>
  <c r="C19" i="5"/>
  <c r="G7" i="5"/>
  <c r="F7" i="5"/>
  <c r="E7" i="5"/>
  <c r="D7" i="5"/>
  <c r="C7" i="5"/>
  <c r="F78" i="4"/>
  <c r="K76" i="4"/>
  <c r="J76" i="4"/>
  <c r="I76" i="4"/>
  <c r="H76" i="4"/>
  <c r="G76" i="4"/>
  <c r="E75" i="4"/>
  <c r="D75" i="4"/>
  <c r="C75" i="4"/>
  <c r="K74" i="4"/>
  <c r="J74" i="4"/>
  <c r="I74" i="4"/>
  <c r="H74" i="4"/>
  <c r="G74" i="4"/>
  <c r="K72" i="4"/>
  <c r="J72" i="4"/>
  <c r="I72" i="4"/>
  <c r="H72" i="4"/>
  <c r="G72" i="4"/>
  <c r="E70" i="4"/>
  <c r="D70" i="4"/>
  <c r="C70" i="4"/>
  <c r="K68" i="4"/>
  <c r="J68" i="4"/>
  <c r="I68" i="4"/>
  <c r="H68" i="4"/>
  <c r="G68" i="4"/>
  <c r="K67" i="4"/>
  <c r="J67" i="4"/>
  <c r="I67" i="4"/>
  <c r="H67" i="4"/>
  <c r="G67" i="4"/>
  <c r="E55" i="4"/>
  <c r="D55" i="4"/>
  <c r="C55" i="4"/>
  <c r="E54" i="4"/>
  <c r="D54" i="4"/>
  <c r="C54" i="4"/>
  <c r="E53" i="4"/>
  <c r="D53" i="4"/>
  <c r="C53" i="4"/>
  <c r="E48" i="4"/>
  <c r="E51" i="4" s="1"/>
  <c r="D48" i="4"/>
  <c r="D51" i="4" s="1"/>
  <c r="C48" i="4"/>
  <c r="C51" i="4" s="1"/>
  <c r="K45" i="4"/>
  <c r="J45" i="4"/>
  <c r="I45" i="4"/>
  <c r="H45" i="4"/>
  <c r="G45" i="4"/>
  <c r="F45" i="4"/>
  <c r="E41" i="4"/>
  <c r="E52" i="4" s="1"/>
  <c r="E6" i="6" s="1"/>
  <c r="D41" i="4"/>
  <c r="D52" i="4" s="1"/>
  <c r="D6" i="6" s="1"/>
  <c r="C41" i="4"/>
  <c r="C52" i="4" s="1"/>
  <c r="C6" i="6" s="1"/>
  <c r="F27" i="4"/>
  <c r="K25" i="4"/>
  <c r="J25" i="4"/>
  <c r="I25" i="4"/>
  <c r="H25" i="4"/>
  <c r="G25" i="4"/>
  <c r="K21" i="4"/>
  <c r="J21" i="4"/>
  <c r="I21" i="4"/>
  <c r="H21" i="4"/>
  <c r="G21" i="4"/>
  <c r="E10" i="4"/>
  <c r="D10" i="4"/>
  <c r="C10" i="4"/>
  <c r="E8" i="4"/>
  <c r="D8" i="4"/>
  <c r="D44" i="3"/>
  <c r="D45" i="3" s="1"/>
  <c r="E34" i="3"/>
  <c r="E33" i="3"/>
  <c r="E32" i="3"/>
  <c r="D31" i="3"/>
  <c r="E31" i="3" s="1"/>
  <c r="D30" i="3"/>
  <c r="C30" i="3"/>
  <c r="E29" i="3"/>
  <c r="E28" i="3"/>
  <c r="E30" i="3" s="1"/>
  <c r="E27" i="3"/>
  <c r="F64" i="4" s="1"/>
  <c r="E23" i="3"/>
  <c r="E19" i="3"/>
  <c r="F22" i="4" s="1"/>
  <c r="E18" i="3"/>
  <c r="F21" i="4" s="1"/>
  <c r="E17" i="3"/>
  <c r="F20" i="4" s="1"/>
  <c r="E16" i="3"/>
  <c r="F17" i="4" s="1"/>
  <c r="F63" i="4" s="1"/>
  <c r="E14" i="3"/>
  <c r="F14" i="4" s="1"/>
  <c r="D12" i="3"/>
  <c r="C11" i="3"/>
  <c r="C10" i="3"/>
  <c r="C15" i="3" s="1"/>
  <c r="C20" i="3" s="1"/>
  <c r="D9" i="3"/>
  <c r="C8" i="3"/>
  <c r="E7" i="3"/>
  <c r="D62" i="2"/>
  <c r="F59" i="2"/>
  <c r="F76" i="4" s="1"/>
  <c r="F58" i="2"/>
  <c r="F74" i="4" s="1"/>
  <c r="F57" i="2"/>
  <c r="F25" i="4" s="1"/>
  <c r="K56" i="2"/>
  <c r="J56" i="2"/>
  <c r="I56" i="2"/>
  <c r="H56" i="2"/>
  <c r="G56" i="2"/>
  <c r="D48" i="2"/>
  <c r="C45" i="2"/>
  <c r="E33" i="2"/>
  <c r="D33" i="2"/>
  <c r="C33" i="2"/>
  <c r="F32" i="2"/>
  <c r="F73" i="4" s="1"/>
  <c r="E32" i="2"/>
  <c r="D32" i="2"/>
  <c r="C32" i="2"/>
  <c r="F31" i="2"/>
  <c r="F72" i="4" s="1"/>
  <c r="E31" i="2"/>
  <c r="D31" i="2"/>
  <c r="C31" i="2"/>
  <c r="F30" i="2"/>
  <c r="F68" i="4" s="1"/>
  <c r="E30" i="2"/>
  <c r="D30" i="2"/>
  <c r="C30" i="2"/>
  <c r="E29" i="2"/>
  <c r="D29" i="2"/>
  <c r="C29" i="2"/>
  <c r="E28" i="2"/>
  <c r="D28" i="2"/>
  <c r="C28" i="2"/>
  <c r="F27" i="2"/>
  <c r="E27" i="2"/>
  <c r="D27" i="2"/>
  <c r="C27" i="2"/>
  <c r="F26" i="2"/>
  <c r="E26" i="2"/>
  <c r="D26" i="2"/>
  <c r="E25" i="2"/>
  <c r="D25" i="2"/>
  <c r="C25" i="2"/>
  <c r="E24" i="2"/>
  <c r="D24" i="2"/>
  <c r="C24" i="2"/>
  <c r="E23" i="2"/>
  <c r="D23" i="2"/>
  <c r="C23" i="2"/>
  <c r="E22" i="2"/>
  <c r="D22" i="2"/>
  <c r="C22" i="2"/>
  <c r="E21" i="2"/>
  <c r="D21" i="2"/>
  <c r="C21" i="2"/>
  <c r="E20" i="2"/>
  <c r="D20" i="2"/>
  <c r="C20" i="2"/>
  <c r="E19" i="2"/>
  <c r="D19" i="2"/>
  <c r="C19" i="2"/>
  <c r="E18" i="2"/>
  <c r="D18" i="2"/>
  <c r="C18" i="2"/>
  <c r="E15" i="2"/>
  <c r="D15" i="2"/>
  <c r="C15" i="2"/>
  <c r="F14" i="2"/>
  <c r="E14" i="2"/>
  <c r="D14" i="2"/>
  <c r="C14" i="2"/>
  <c r="F13" i="2"/>
  <c r="E13" i="2"/>
  <c r="D13" i="2"/>
  <c r="C13" i="2"/>
  <c r="E11" i="2"/>
  <c r="D11" i="2"/>
  <c r="C11" i="2"/>
  <c r="E10" i="2"/>
  <c r="D10" i="2"/>
  <c r="C10" i="2"/>
  <c r="E9" i="2"/>
  <c r="D9" i="2"/>
  <c r="C9" i="2"/>
  <c r="K8" i="2"/>
  <c r="J8" i="2"/>
  <c r="I8" i="2"/>
  <c r="H8" i="2"/>
  <c r="G8" i="2"/>
  <c r="K7" i="2"/>
  <c r="J7" i="2"/>
  <c r="I7" i="2"/>
  <c r="H7" i="2"/>
  <c r="G7" i="2"/>
  <c r="E7" i="2"/>
  <c r="D7" i="2"/>
  <c r="D36" i="1"/>
  <c r="C36" i="1"/>
  <c r="C35" i="1"/>
  <c r="C28" i="1"/>
  <c r="C27" i="1"/>
  <c r="F23" i="1"/>
  <c r="D23" i="1"/>
  <c r="F22" i="1"/>
  <c r="D22" i="1"/>
  <c r="F21" i="1"/>
  <c r="D21" i="1"/>
  <c r="C14" i="1"/>
  <c r="C7" i="1"/>
  <c r="E6" i="1"/>
  <c r="C6" i="1"/>
  <c r="F67" i="4" l="1"/>
  <c r="F39" i="4"/>
  <c r="C39" i="5"/>
  <c r="C23" i="5"/>
  <c r="C50" i="2"/>
  <c r="C51" i="2" s="1"/>
  <c r="C39" i="2" s="1"/>
  <c r="C20" i="5" s="1"/>
  <c r="F7" i="4"/>
  <c r="D10" i="3"/>
  <c r="D15" i="3" s="1"/>
  <c r="D20" i="3" s="1"/>
  <c r="E9" i="3"/>
  <c r="C24" i="3"/>
  <c r="C38" i="3" s="1"/>
  <c r="F11" i="6" s="1"/>
  <c r="C21" i="3"/>
  <c r="D13" i="3"/>
  <c r="E13" i="3" s="1"/>
  <c r="F13" i="4" s="1"/>
  <c r="F10" i="2" s="1"/>
  <c r="E12" i="3"/>
  <c r="C15" i="4"/>
  <c r="C11" i="4"/>
  <c r="C8" i="2" s="1"/>
  <c r="D15" i="4"/>
  <c r="D11" i="4"/>
  <c r="D8" i="2" s="1"/>
  <c r="E15" i="4"/>
  <c r="E11" i="4"/>
  <c r="C24" i="5"/>
  <c r="C26" i="5" s="1"/>
  <c r="F71" i="4"/>
  <c r="G71" i="4"/>
  <c r="H71" i="4"/>
  <c r="I71" i="4"/>
  <c r="J71" i="4"/>
  <c r="K71" i="4"/>
  <c r="C10" i="5"/>
  <c r="D10" i="5"/>
  <c r="E10" i="5"/>
  <c r="F10" i="5"/>
  <c r="G10" i="5"/>
  <c r="C22" i="5"/>
  <c r="H56" i="5"/>
  <c r="G56" i="5"/>
  <c r="F56" i="5"/>
  <c r="E56" i="5"/>
  <c r="D56" i="5"/>
  <c r="G48" i="5"/>
  <c r="F48" i="5"/>
  <c r="E48" i="5"/>
  <c r="D48" i="5"/>
  <c r="C48" i="5"/>
  <c r="K9" i="6" l="1"/>
  <c r="J9" i="6"/>
  <c r="I9" i="6"/>
  <c r="H9" i="6"/>
  <c r="G9" i="6"/>
  <c r="F75" i="4"/>
  <c r="F9" i="6"/>
  <c r="E8" i="2"/>
  <c r="C29" i="1"/>
  <c r="E23" i="4"/>
  <c r="E18" i="4"/>
  <c r="E16" i="4"/>
  <c r="C30" i="1" s="1"/>
  <c r="D23" i="4"/>
  <c r="D18" i="4"/>
  <c r="D19" i="4" s="1"/>
  <c r="D16" i="4"/>
  <c r="C23" i="4"/>
  <c r="C18" i="4"/>
  <c r="C19" i="4" s="1"/>
  <c r="C16" i="4"/>
  <c r="F12" i="4"/>
  <c r="F9" i="2" s="1"/>
  <c r="E11" i="3"/>
  <c r="F9" i="4"/>
  <c r="E10" i="3"/>
  <c r="D22" i="3"/>
  <c r="F47" i="4"/>
  <c r="F46" i="4"/>
  <c r="F40" i="4"/>
  <c r="F38" i="4"/>
  <c r="F36" i="4"/>
  <c r="F35" i="4"/>
  <c r="F10" i="4"/>
  <c r="F8" i="4"/>
  <c r="G7" i="4"/>
  <c r="F29" i="2"/>
  <c r="F15" i="2"/>
  <c r="F11" i="2"/>
  <c r="D27" i="1"/>
  <c r="B61" i="5"/>
  <c r="B60" i="5"/>
  <c r="B59" i="5"/>
  <c r="B58" i="5"/>
  <c r="B57" i="5"/>
  <c r="C13" i="1"/>
  <c r="C25" i="5"/>
  <c r="F8" i="6"/>
  <c r="G17" i="4"/>
  <c r="C9" i="5" l="1"/>
  <c r="G63" i="4"/>
  <c r="G39" i="4"/>
  <c r="C61" i="5"/>
  <c r="C60" i="5"/>
  <c r="C59" i="5"/>
  <c r="C58" i="5"/>
  <c r="C57" i="5"/>
  <c r="C28" i="5"/>
  <c r="G64" i="4"/>
  <c r="G47" i="4"/>
  <c r="G46" i="4"/>
  <c r="G40" i="4"/>
  <c r="G38" i="4"/>
  <c r="G36" i="4"/>
  <c r="G35" i="4"/>
  <c r="G22" i="4"/>
  <c r="G14" i="4"/>
  <c r="G13" i="4"/>
  <c r="G12" i="4"/>
  <c r="G9" i="4"/>
  <c r="G8" i="4"/>
  <c r="E28" i="1" s="1"/>
  <c r="H7" i="4"/>
  <c r="E27" i="1"/>
  <c r="F7" i="2"/>
  <c r="D28" i="1"/>
  <c r="F15" i="4"/>
  <c r="F11" i="4"/>
  <c r="G69" i="4"/>
  <c r="G70" i="4" s="1"/>
  <c r="F69" i="4"/>
  <c r="F70" i="4" s="1"/>
  <c r="E22" i="3"/>
  <c r="D24" i="3"/>
  <c r="D46" i="3" s="1"/>
  <c r="E15" i="3"/>
  <c r="E20" i="3" s="1"/>
  <c r="E24" i="3" s="1"/>
  <c r="E8" i="3"/>
  <c r="F44" i="4"/>
  <c r="F48" i="4" s="1"/>
  <c r="F37" i="4"/>
  <c r="C26" i="4"/>
  <c r="C12" i="2"/>
  <c r="D26" i="4"/>
  <c r="D12" i="2"/>
  <c r="E19" i="4"/>
  <c r="C31" i="1"/>
  <c r="E26" i="4"/>
  <c r="E12" i="2"/>
  <c r="E62" i="4" l="1"/>
  <c r="E66" i="4" s="1"/>
  <c r="E28" i="4"/>
  <c r="C33" i="1" s="1"/>
  <c r="C32" i="1"/>
  <c r="D62" i="4"/>
  <c r="D66" i="4" s="1"/>
  <c r="D28" i="4"/>
  <c r="C62" i="4"/>
  <c r="C66" i="4" s="1"/>
  <c r="C28" i="4"/>
  <c r="F65" i="4"/>
  <c r="F54" i="4"/>
  <c r="F24" i="4"/>
  <c r="E21" i="3"/>
  <c r="F8" i="2"/>
  <c r="D29" i="1"/>
  <c r="E12" i="1"/>
  <c r="F23" i="4"/>
  <c r="F18" i="4"/>
  <c r="F16" i="4"/>
  <c r="D30" i="1" s="1"/>
  <c r="H64" i="4"/>
  <c r="H47" i="4"/>
  <c r="H46" i="4"/>
  <c r="H40" i="4"/>
  <c r="H38" i="4"/>
  <c r="H36" i="4"/>
  <c r="H35" i="4"/>
  <c r="H22" i="4"/>
  <c r="H14" i="4"/>
  <c r="H13" i="4"/>
  <c r="H12" i="4"/>
  <c r="H9" i="4"/>
  <c r="H8" i="4"/>
  <c r="F28" i="1" s="1"/>
  <c r="I7" i="4"/>
  <c r="F27" i="1"/>
  <c r="G44" i="4"/>
  <c r="G48" i="4" s="1"/>
  <c r="G37" i="4"/>
  <c r="G65" i="4" s="1"/>
  <c r="C11" i="5" s="1"/>
  <c r="G10" i="4"/>
  <c r="H69" i="4"/>
  <c r="H70" i="4" s="1"/>
  <c r="G54" i="4"/>
  <c r="B53" i="5"/>
  <c r="B52" i="5"/>
  <c r="B51" i="5"/>
  <c r="B50" i="5"/>
  <c r="B49" i="5"/>
  <c r="G14" i="5"/>
  <c r="F14" i="5"/>
  <c r="E14" i="5"/>
  <c r="D14" i="5"/>
  <c r="C14" i="5"/>
  <c r="C12" i="1"/>
  <c r="G8" i="6"/>
  <c r="H17" i="4"/>
  <c r="D9" i="5" l="1"/>
  <c r="H63" i="4"/>
  <c r="H39" i="4"/>
  <c r="G15" i="4"/>
  <c r="G11" i="4"/>
  <c r="E29" i="1" s="1"/>
  <c r="I64" i="4"/>
  <c r="I47" i="4"/>
  <c r="I46" i="4"/>
  <c r="I40" i="4"/>
  <c r="I38" i="4"/>
  <c r="I36" i="4"/>
  <c r="I35" i="4"/>
  <c r="I22" i="4"/>
  <c r="I14" i="4"/>
  <c r="I13" i="4"/>
  <c r="I12" i="4"/>
  <c r="I9" i="4"/>
  <c r="I8" i="4"/>
  <c r="G28" i="1" s="1"/>
  <c r="J7" i="4"/>
  <c r="G27" i="1"/>
  <c r="H44" i="4"/>
  <c r="H48" i="4" s="1"/>
  <c r="H37" i="4"/>
  <c r="H65" i="4" s="1"/>
  <c r="D11" i="5" s="1"/>
  <c r="H10" i="4"/>
  <c r="I69" i="4"/>
  <c r="I70" i="4" s="1"/>
  <c r="H54" i="4"/>
  <c r="F19" i="4"/>
  <c r="D31" i="1"/>
  <c r="F26" i="4"/>
  <c r="F12" i="2"/>
  <c r="C81" i="4"/>
  <c r="C29" i="4" s="1"/>
  <c r="C77" i="4"/>
  <c r="C79" i="4" s="1"/>
  <c r="D81" i="4"/>
  <c r="D29" i="4" s="1"/>
  <c r="D77" i="4"/>
  <c r="E81" i="4"/>
  <c r="E77" i="4"/>
  <c r="E29" i="4" l="1"/>
  <c r="C34" i="1"/>
  <c r="C80" i="4"/>
  <c r="C7" i="6" s="1"/>
  <c r="D78" i="4"/>
  <c r="D79" i="4" s="1"/>
  <c r="F62" i="4"/>
  <c r="F66" i="4" s="1"/>
  <c r="F50" i="4"/>
  <c r="F28" i="4"/>
  <c r="D33" i="1" s="1"/>
  <c r="D32" i="1"/>
  <c r="H15" i="4"/>
  <c r="H11" i="4"/>
  <c r="F29" i="1" s="1"/>
  <c r="J64" i="4"/>
  <c r="J47" i="4"/>
  <c r="J46" i="4"/>
  <c r="J40" i="4"/>
  <c r="J38" i="4"/>
  <c r="J36" i="4"/>
  <c r="J35" i="4"/>
  <c r="J22" i="4"/>
  <c r="J14" i="4"/>
  <c r="J13" i="4"/>
  <c r="J12" i="4"/>
  <c r="J9" i="4"/>
  <c r="J8" i="4"/>
  <c r="H28" i="1" s="1"/>
  <c r="K7" i="4"/>
  <c r="H27" i="1"/>
  <c r="I44" i="4"/>
  <c r="I48" i="4" s="1"/>
  <c r="I37" i="4"/>
  <c r="I65" i="4" s="1"/>
  <c r="E11" i="5" s="1"/>
  <c r="I10" i="4"/>
  <c r="J69" i="4"/>
  <c r="J70" i="4" s="1"/>
  <c r="I54" i="4"/>
  <c r="C6" i="5"/>
  <c r="C8" i="5" s="1"/>
  <c r="C12" i="5" s="1"/>
  <c r="C15" i="5" s="1"/>
  <c r="G18" i="4"/>
  <c r="G16" i="4"/>
  <c r="E30" i="1" s="1"/>
  <c r="H8" i="6"/>
  <c r="I17" i="4"/>
  <c r="E9" i="5" l="1"/>
  <c r="I63" i="4"/>
  <c r="I39" i="4"/>
  <c r="G19" i="4"/>
  <c r="E31" i="1"/>
  <c r="I15" i="4"/>
  <c r="I11" i="4"/>
  <c r="G29" i="1" s="1"/>
  <c r="K64" i="4"/>
  <c r="K47" i="4"/>
  <c r="K46" i="4"/>
  <c r="K40" i="4"/>
  <c r="K38" i="4"/>
  <c r="K36" i="4"/>
  <c r="K35" i="4"/>
  <c r="K22" i="4"/>
  <c r="K14" i="4"/>
  <c r="K13" i="4"/>
  <c r="K12" i="4"/>
  <c r="K9" i="4"/>
  <c r="K8" i="4"/>
  <c r="I28" i="1" s="1"/>
  <c r="I27" i="1"/>
  <c r="J44" i="4"/>
  <c r="J48" i="4" s="1"/>
  <c r="J37" i="4"/>
  <c r="J65" i="4" s="1"/>
  <c r="F11" i="5" s="1"/>
  <c r="J10" i="4"/>
  <c r="K69" i="4"/>
  <c r="K70" i="4" s="1"/>
  <c r="J54" i="4"/>
  <c r="D6" i="5"/>
  <c r="D8" i="5" s="1"/>
  <c r="D12" i="5" s="1"/>
  <c r="D15" i="5" s="1"/>
  <c r="H18" i="4"/>
  <c r="H16" i="4"/>
  <c r="F30" i="1" s="1"/>
  <c r="F10" i="6"/>
  <c r="F55" i="4"/>
  <c r="F51" i="4"/>
  <c r="F81" i="4"/>
  <c r="F77" i="4"/>
  <c r="F79" i="4" s="1"/>
  <c r="D80" i="4"/>
  <c r="D7" i="6" s="1"/>
  <c r="E78" i="4"/>
  <c r="E79" i="4" s="1"/>
  <c r="E80" i="4" s="1"/>
  <c r="E7" i="6" s="1"/>
  <c r="F34" i="4" l="1"/>
  <c r="F29" i="4"/>
  <c r="D34" i="1"/>
  <c r="H19" i="4"/>
  <c r="F31" i="1"/>
  <c r="J15" i="4"/>
  <c r="J11" i="4"/>
  <c r="H29" i="1" s="1"/>
  <c r="K44" i="4"/>
  <c r="K48" i="4" s="1"/>
  <c r="K37" i="4"/>
  <c r="K65" i="4" s="1"/>
  <c r="G11" i="5" s="1"/>
  <c r="K10" i="4"/>
  <c r="K54" i="4"/>
  <c r="E6" i="5"/>
  <c r="E8" i="5" s="1"/>
  <c r="E12" i="5" s="1"/>
  <c r="E15" i="5" s="1"/>
  <c r="I18" i="4"/>
  <c r="I16" i="4"/>
  <c r="G30" i="1" s="1"/>
  <c r="I8" i="6"/>
  <c r="J17" i="4"/>
  <c r="F9" i="5" l="1"/>
  <c r="J63" i="4"/>
  <c r="J39" i="4"/>
  <c r="I19" i="4"/>
  <c r="G31" i="1"/>
  <c r="K15" i="4"/>
  <c r="K11" i="4"/>
  <c r="I29" i="1" s="1"/>
  <c r="F6" i="5"/>
  <c r="F8" i="5" s="1"/>
  <c r="F12" i="5" s="1"/>
  <c r="F15" i="5" s="1"/>
  <c r="J18" i="4"/>
  <c r="J16" i="4"/>
  <c r="H30" i="1" s="1"/>
  <c r="G78" i="4"/>
  <c r="F41" i="4"/>
  <c r="F52" i="4" s="1"/>
  <c r="F6" i="6" s="1"/>
  <c r="G20" i="4"/>
  <c r="G23" i="4" s="1"/>
  <c r="F53" i="4"/>
  <c r="F80" i="4"/>
  <c r="F7" i="6" s="1"/>
  <c r="C44" i="2" l="1"/>
  <c r="C37" i="5" s="1"/>
  <c r="C17" i="1" s="1"/>
  <c r="D35" i="1"/>
  <c r="G24" i="4"/>
  <c r="G26" i="4" s="1"/>
  <c r="J19" i="4"/>
  <c r="H31" i="1"/>
  <c r="G6" i="5"/>
  <c r="G8" i="5" s="1"/>
  <c r="K16" i="4"/>
  <c r="I30" i="1" s="1"/>
  <c r="J8" i="6"/>
  <c r="K17" i="4"/>
  <c r="G9" i="5" l="1"/>
  <c r="K63" i="4"/>
  <c r="K18" i="4"/>
  <c r="K39" i="4"/>
  <c r="K8" i="6" s="1"/>
  <c r="G12" i="5"/>
  <c r="G62" i="4"/>
  <c r="G66" i="4" s="1"/>
  <c r="E32" i="1"/>
  <c r="G81" i="4" l="1"/>
  <c r="C32" i="5"/>
  <c r="C33" i="5" s="1"/>
  <c r="G15" i="5"/>
  <c r="C35" i="5" s="1"/>
  <c r="K19" i="4"/>
  <c r="I31" i="1"/>
  <c r="C44" i="5" l="1"/>
  <c r="C16" i="1" s="1"/>
  <c r="C34" i="5"/>
  <c r="G29" i="4"/>
  <c r="G32" i="2"/>
  <c r="E34" i="1"/>
  <c r="G73" i="4" l="1"/>
  <c r="G75" i="4" s="1"/>
  <c r="G77" i="4" s="1"/>
  <c r="G79" i="4" s="1"/>
  <c r="G33" i="2"/>
  <c r="G50" i="4"/>
  <c r="C36" i="5"/>
  <c r="C13" i="6" l="1"/>
  <c r="C38" i="5"/>
  <c r="C10" i="1"/>
  <c r="C43" i="5"/>
  <c r="C15" i="1" s="1"/>
  <c r="G10" i="6"/>
  <c r="G55" i="4"/>
  <c r="G51" i="4"/>
  <c r="G27" i="4"/>
  <c r="G34" i="4"/>
  <c r="H78" i="4" l="1"/>
  <c r="G41" i="4"/>
  <c r="G52" i="4" s="1"/>
  <c r="G6" i="6" s="1"/>
  <c r="H20" i="4"/>
  <c r="H23" i="4" s="1"/>
  <c r="G53" i="4"/>
  <c r="E35" i="1" s="1"/>
  <c r="G80" i="4"/>
  <c r="G7" i="6" s="1"/>
  <c r="E36" i="1"/>
  <c r="G28" i="4"/>
  <c r="E33" i="1" s="1"/>
  <c r="C40" i="5"/>
  <c r="C11" i="1"/>
  <c r="C16" i="6" l="1"/>
  <c r="C42" i="5"/>
  <c r="C9" i="1" s="1"/>
  <c r="C8" i="1"/>
  <c r="H24" i="4"/>
  <c r="H26" i="4" s="1"/>
  <c r="H62" i="4" l="1"/>
  <c r="H66" i="4" s="1"/>
  <c r="F32" i="1"/>
  <c r="H81" i="4" l="1"/>
  <c r="H29" i="4" l="1"/>
  <c r="H32" i="2"/>
  <c r="F34" i="1"/>
  <c r="H73" i="4" l="1"/>
  <c r="H75" i="4" s="1"/>
  <c r="H77" i="4" s="1"/>
  <c r="H79" i="4" s="1"/>
  <c r="H33" i="2"/>
  <c r="H50" i="4"/>
  <c r="H10" i="6" l="1"/>
  <c r="H55" i="4"/>
  <c r="H51" i="4"/>
  <c r="H27" i="4"/>
  <c r="H34" i="4"/>
  <c r="I78" i="4" l="1"/>
  <c r="H41" i="4"/>
  <c r="H52" i="4" s="1"/>
  <c r="H6" i="6" s="1"/>
  <c r="I20" i="4"/>
  <c r="I23" i="4" s="1"/>
  <c r="H53" i="4"/>
  <c r="F35" i="1" s="1"/>
  <c r="H80" i="4"/>
  <c r="H7" i="6" s="1"/>
  <c r="F36" i="1"/>
  <c r="H28" i="4"/>
  <c r="F33" i="1" s="1"/>
  <c r="I24" i="4" l="1"/>
  <c r="I26" i="4" s="1"/>
  <c r="I62" i="4" l="1"/>
  <c r="I66" i="4" s="1"/>
  <c r="G32" i="1"/>
  <c r="I81" i="4" l="1"/>
  <c r="I29" i="4" l="1"/>
  <c r="I32" i="2"/>
  <c r="G34" i="1"/>
  <c r="I73" i="4" l="1"/>
  <c r="I75" i="4" s="1"/>
  <c r="I77" i="4" s="1"/>
  <c r="I79" i="4" s="1"/>
  <c r="I33" i="2"/>
  <c r="I50" i="4"/>
  <c r="I10" i="6" l="1"/>
  <c r="I55" i="4"/>
  <c r="I51" i="4"/>
  <c r="I27" i="4"/>
  <c r="I34" i="4"/>
  <c r="J78" i="4" l="1"/>
  <c r="I41" i="4"/>
  <c r="I52" i="4" s="1"/>
  <c r="I6" i="6" s="1"/>
  <c r="J20" i="4"/>
  <c r="J23" i="4" s="1"/>
  <c r="I53" i="4"/>
  <c r="G35" i="1" s="1"/>
  <c r="I80" i="4"/>
  <c r="I7" i="6" s="1"/>
  <c r="G36" i="1"/>
  <c r="I28" i="4"/>
  <c r="G33" i="1" s="1"/>
  <c r="J24" i="4" l="1"/>
  <c r="J26" i="4" s="1"/>
  <c r="J62" i="4" l="1"/>
  <c r="J66" i="4" s="1"/>
  <c r="H32" i="1"/>
  <c r="J81" i="4" l="1"/>
  <c r="J29" i="4" l="1"/>
  <c r="J32" i="2"/>
  <c r="H34" i="1"/>
  <c r="J73" i="4" l="1"/>
  <c r="J75" i="4" s="1"/>
  <c r="J77" i="4" s="1"/>
  <c r="J79" i="4" s="1"/>
  <c r="J33" i="2"/>
  <c r="J50" i="4"/>
  <c r="J10" i="6" l="1"/>
  <c r="J55" i="4"/>
  <c r="J51" i="4"/>
  <c r="J27" i="4"/>
  <c r="J34" i="4"/>
  <c r="K78" i="4" l="1"/>
  <c r="J41" i="4"/>
  <c r="J52" i="4" s="1"/>
  <c r="J6" i="6" s="1"/>
  <c r="K20" i="4"/>
  <c r="K23" i="4" s="1"/>
  <c r="J53" i="4"/>
  <c r="H35" i="1" s="1"/>
  <c r="J80" i="4"/>
  <c r="J7" i="6" s="1"/>
  <c r="H36" i="1"/>
  <c r="J28" i="4"/>
  <c r="H33" i="1" s="1"/>
  <c r="K24" i="4" l="1"/>
  <c r="K26" i="4" s="1"/>
  <c r="K62" i="4" l="1"/>
  <c r="K66" i="4" s="1"/>
  <c r="I32" i="1"/>
  <c r="K81" i="4" l="1"/>
  <c r="K29" i="4" l="1"/>
  <c r="K32" i="2"/>
  <c r="I34" i="1"/>
  <c r="K73" i="4" l="1"/>
  <c r="K75" i="4" s="1"/>
  <c r="K77" i="4" s="1"/>
  <c r="K79" i="4" s="1"/>
  <c r="K33" i="2"/>
  <c r="K27" i="4" s="1"/>
  <c r="K50" i="4"/>
  <c r="K10" i="6" l="1"/>
  <c r="K55" i="4"/>
  <c r="K51" i="4"/>
  <c r="I36" i="1"/>
  <c r="K28" i="4"/>
  <c r="I33" i="1" s="1"/>
  <c r="K34" i="4"/>
  <c r="K41" i="4" l="1"/>
  <c r="K52" i="4" s="1"/>
  <c r="K6" i="6" s="1"/>
  <c r="K53" i="4"/>
  <c r="I35" i="1" s="1"/>
  <c r="K80" i="4"/>
  <c r="K7" i="6" s="1"/>
  <c r="H61" i="5"/>
  <c r="G61" i="5"/>
  <c r="F61" i="5"/>
  <c r="E61" i="5"/>
  <c r="D61" i="5"/>
  <c r="H60" i="5"/>
  <c r="G60" i="5"/>
  <c r="F60" i="5"/>
  <c r="E60" i="5"/>
  <c r="D60" i="5"/>
  <c r="H59" i="5"/>
  <c r="G59" i="5"/>
  <c r="F59" i="5"/>
  <c r="C15" i="6"/>
  <c r="E59" i="5"/>
  <c r="D59" i="5"/>
  <c r="H58" i="5"/>
  <c r="G58" i="5"/>
  <c r="F58" i="5"/>
  <c r="E58" i="5"/>
  <c r="D58" i="5"/>
  <c r="H57" i="5"/>
  <c r="G57" i="5"/>
  <c r="F57" i="5"/>
  <c r="E57" i="5"/>
  <c r="D57" i="5"/>
  <c r="G53" i="5"/>
  <c r="F53" i="5"/>
  <c r="E53" i="5"/>
  <c r="D53" i="5"/>
  <c r="C53" i="5"/>
  <c r="G52" i="5"/>
  <c r="F52" i="5"/>
  <c r="E52" i="5"/>
  <c r="D52" i="5"/>
  <c r="C52" i="5"/>
  <c r="G51" i="5"/>
  <c r="F51" i="5"/>
  <c r="E51" i="5"/>
  <c r="C14" i="6"/>
  <c r="D51" i="5"/>
  <c r="C51" i="5"/>
  <c r="G50" i="5"/>
  <c r="F50" i="5"/>
  <c r="E50" i="5"/>
  <c r="D50" i="5"/>
  <c r="C50" i="5"/>
  <c r="G49" i="5"/>
  <c r="F49" i="5"/>
  <c r="E49" i="5"/>
  <c r="D49" i="5"/>
  <c r="C49" i="5"/>
  <c r="C18" i="6"/>
</calcChain>
</file>

<file path=xl/sharedStrings.xml><?xml version="1.0" encoding="utf-8"?>
<sst xmlns="http://schemas.openxmlformats.org/spreadsheetml/2006/main" count="462" uniqueCount="354">
  <si>
    <t>Micron Technology (MU) — Three-Statement Model and DCF</t>
  </si>
  <si>
    <t>VALUATION SUMMARY</t>
  </si>
  <si>
    <t>INVESTMENT VIEW</t>
  </si>
  <si>
    <t>Valuation date</t>
  </si>
  <si>
    <t>Current share price</t>
  </si>
  <si>
    <t>DCF implied value per share</t>
  </si>
  <si>
    <t>Implied upside / (downside)</t>
  </si>
  <si>
    <t>Enterprise value</t>
  </si>
  <si>
    <t>Equity value</t>
  </si>
  <si>
    <t>WACC</t>
  </si>
  <si>
    <t>Beta</t>
  </si>
  <si>
    <t>Terminal growth rate</t>
  </si>
  <si>
    <t>Terminal value as % of EV</t>
  </si>
  <si>
    <t>Implied terminal EV / EBITDA</t>
  </si>
  <si>
    <t>Net cash, FY2026E year-end</t>
  </si>
  <si>
    <t xml:space="preserve">SCENARIO VALUES PER SHARE </t>
  </si>
  <si>
    <t>Case</t>
  </si>
  <si>
    <t>Industry beta</t>
  </si>
  <si>
    <t>vs. price</t>
  </si>
  <si>
    <t>Regression beta</t>
  </si>
  <si>
    <t>Key assumptions</t>
  </si>
  <si>
    <t>Base</t>
  </si>
  <si>
    <t>FY27 revenue +18% (~$38B/quarter); gross margin eases to 60% by FY2031</t>
  </si>
  <si>
    <t>Bull</t>
  </si>
  <si>
    <t>FY27 revenue +35%, near the Q4 FY26 run rate; gross margin ~65% by FY2031</t>
  </si>
  <si>
    <t>Bear</t>
  </si>
  <si>
    <t>Flat FY27, then −15% and −25% in FY28–FY29; gross margin troughs at 42%</t>
  </si>
  <si>
    <t>OPERATING SUMMARY</t>
  </si>
  <si>
    <t>$ in millions</t>
  </si>
  <si>
    <t>FY2025A</t>
  </si>
  <si>
    <t>FY2026E</t>
  </si>
  <si>
    <t>FY2027E</t>
  </si>
  <si>
    <t>FY2028E</t>
  </si>
  <si>
    <t>FY2029E</t>
  </si>
  <si>
    <t>FY2030E</t>
  </si>
  <si>
    <t>FY2031E</t>
  </si>
  <si>
    <t>Revenue</t>
  </si>
  <si>
    <t>Revenue growth</t>
  </si>
  <si>
    <t>Gross margin</t>
  </si>
  <si>
    <t>Operating margin</t>
  </si>
  <si>
    <t>EBITDA</t>
  </si>
  <si>
    <t>Net income</t>
  </si>
  <si>
    <t>Diluted EPS</t>
  </si>
  <si>
    <t>Free cash flow</t>
  </si>
  <si>
    <t>Net debt / (cash)</t>
  </si>
  <si>
    <t>Diluted shares (millions)</t>
  </si>
  <si>
    <t>Micron Technology (MU) — Model Assumptions</t>
  </si>
  <si>
    <t>Blue = hardcoded input · Black = formula · Green = link to another sheet · $ in millions except per-share data</t>
  </si>
  <si>
    <t>Fiscal Year</t>
  </si>
  <si>
    <t>FY2023A</t>
  </si>
  <si>
    <t>FY2024A</t>
  </si>
  <si>
    <t>INCOME STATEMENT ASSUMPTIONS</t>
  </si>
  <si>
    <t>FY2026E from FY26 Bridge; FY2027E+ from the active scenario (rows 63–65)</t>
  </si>
  <si>
    <t>FY2026E from FY26 Bridge; FY2027E+ from the active scenario (rows 66–68)</t>
  </si>
  <si>
    <t>R&amp;D as % of revenue</t>
  </si>
  <si>
    <t>FY2026E ratios on rows 9–15 are calculated from the FY26 Bridge</t>
  </si>
  <si>
    <t>SG&amp;A as % of revenue</t>
  </si>
  <si>
    <t>Other operating expense as % of revenue</t>
  </si>
  <si>
    <t>Tax rate</t>
  </si>
  <si>
    <t>Interest income yield</t>
  </si>
  <si>
    <t>FY2026E ratio looks high because cash rose sharply during the year</t>
  </si>
  <si>
    <t>Interest expense rate</t>
  </si>
  <si>
    <t>Other income / (expense) as % of revenue</t>
  </si>
  <si>
    <t>BALANCE SHEET AND CASH FLOW ASSUMPTIONS</t>
  </si>
  <si>
    <t>Receivable days (DSO, on revenue)</t>
  </si>
  <si>
    <t>Days on a 365-day basis</t>
  </si>
  <si>
    <t>Inventory days (DIO, on COGS)</t>
  </si>
  <si>
    <t>Payable days (DPO, on COGS)</t>
  </si>
  <si>
    <t>Other current assets as % of revenue</t>
  </si>
  <si>
    <t>Other current liabilities as % of revenue</t>
  </si>
  <si>
    <t>Marketable securities as % of revenue</t>
  </si>
  <si>
    <t>Other long-term assets as % of revenue</t>
  </si>
  <si>
    <t>Other long-term liabilities as % of revenue</t>
  </si>
  <si>
    <t>D&amp;A as % of beginning PP&amp;E</t>
  </si>
  <si>
    <t>FY2026E from FY26 Bridge</t>
  </si>
  <si>
    <t>Capital expenditures</t>
  </si>
  <si>
    <t>FY2026E ~$27B net of incentives per guidance; FY27 quarterly capex guided above Q4 FY26 (~$10B)</t>
  </si>
  <si>
    <t>Ending debt</t>
  </si>
  <si>
    <t>FY2026E = total debt at Q3 FY2026 (May 28, 2026)</t>
  </si>
  <si>
    <t>Stock-based compensation as % of revenue</t>
  </si>
  <si>
    <t>Government incentive proceeds</t>
  </si>
  <si>
    <t>Incentives reduce PP&amp;E as well as adding cash</t>
  </si>
  <si>
    <t>Dividends paid</t>
  </si>
  <si>
    <t>Share repurchases</t>
  </si>
  <si>
    <t>FY2027E+: FCF × payout % (row 55) − dividends</t>
  </si>
  <si>
    <t>FY2026E per Q4 guidance; later years net buybacks and SBC issuance at row 56 price</t>
  </si>
  <si>
    <t>DCF AND MARKET ASSUMPTIONS</t>
  </si>
  <si>
    <t>Latest market close used in the model</t>
  </si>
  <si>
    <t>Closing price on 9/14/2026 (Yahoo Finance / Nasdaq)</t>
  </si>
  <si>
    <t>Risk-free rate</t>
  </si>
  <si>
    <t>10-year U.S. Treasury yield at the 9/14/2026 close (Trading Economics; FRED series DGS10)</t>
  </si>
  <si>
    <t>Levered beta</t>
  </si>
  <si>
    <t>Selected in the beta build below (1 = industry bottom-up, 2 = regression)</t>
  </si>
  <si>
    <t>Equity risk premium</t>
  </si>
  <si>
    <t>Damodaran implied U.S. equity risk premium, start of 2026</t>
  </si>
  <si>
    <t>Pre-tax cost of debt</t>
  </si>
  <si>
    <t>Assumption; debt is ~0.5% of capital, so WACC is barely sensitive to this</t>
  </si>
  <si>
    <t>Marginal tax rate</t>
  </si>
  <si>
    <t>Close to the 9M FY2026 effective tax rate (14.8%)</t>
  </si>
  <si>
    <t>Long-term growth after FY2031</t>
  </si>
  <si>
    <t>FY2026E year-end net debt / (cash); FY2026 ended before the valuation date</t>
  </si>
  <si>
    <t>Diluted shares</t>
  </si>
  <si>
    <t>Diluted shares in millions (~1.15B per Micron Q4 FY2026 guidance)</t>
  </si>
  <si>
    <t>BETA BUILD</t>
  </si>
  <si>
    <t>Beta method (1 = industry, 2 = regression)</t>
  </si>
  <si>
    <t>Industry unlevered beta (cash-corrected)</t>
  </si>
  <si>
    <t>Damodaran, Betas by Sector (US), Semiconductor, January 2026</t>
  </si>
  <si>
    <t>Micron market debt / equity</t>
  </si>
  <si>
    <t>FY2026E debt ÷ market value of equity</t>
  </si>
  <si>
    <t>Relevered industry beta</t>
  </si>
  <si>
    <t>Unlevered beta × (1 + (1 − tax rate) × D/E)</t>
  </si>
  <si>
    <t>Regression beta (5-year monthly)</t>
  </si>
  <si>
    <t>Yahoo Finance as of 9/14/2026; inflated by the stock's 2025–26 run-up</t>
  </si>
  <si>
    <t>CAPITAL RETURN AND OTHER FORECAST ITEMS</t>
  </si>
  <si>
    <t>Free cash flow returned to shareholders</t>
  </si>
  <si>
    <t>Micron has committed to returning 100% of free cash flow over time</t>
  </si>
  <si>
    <t>Assumed average repurchase price ($/share)</t>
  </si>
  <si>
    <t>Held at the current share price; change to test buyback timing</t>
  </si>
  <si>
    <t>Equity in income / (loss) of investees</t>
  </si>
  <si>
    <t>Other financing activities</t>
  </si>
  <si>
    <t>Other financing and FX flows are routed through equity</t>
  </si>
  <si>
    <t>Foreign exchange effect on cash</t>
  </si>
  <si>
    <t>REVENUE AND MARGIN SCENARIOS (FY2027E–FY2031E)</t>
  </si>
  <si>
    <t>Active scenario (1 = Base, 2 = Bull, 3 = Bear)</t>
  </si>
  <si>
    <t>Capex, opex ratios and balance-sheet inputs do not change by scenario</t>
  </si>
  <si>
    <t>Revenue growth — Base</t>
  </si>
  <si>
    <t>Implies ~$38B/quarter in FY27 vs. ~$50B Q4 FY26 guidance (prices ease from peak)</t>
  </si>
  <si>
    <t>Revenue growth — Bull</t>
  </si>
  <si>
    <t>Shortage persists: FY27 revenue near the Q4 FY26 run-rate (~$200B annualized)</t>
  </si>
  <si>
    <t>Revenue growth — Bear</t>
  </si>
  <si>
    <t>New fabs (Micron ID1 mid-2027, ID2 late 2028) and peer capacity push pricing down in FY28–FY29; contracts soften the drop</t>
  </si>
  <si>
    <t>Gross margin — Base</t>
  </si>
  <si>
    <t>Falls from ~86% (Q4 FY26 guidance) toward ~60% by FY2031</t>
  </si>
  <si>
    <t>Gross margin — Bull</t>
  </si>
  <si>
    <t>AI demand keeps margins above the prior-cycle peak; terminal ~65%</t>
  </si>
  <si>
    <t>Gross margin — Bear</t>
  </si>
  <si>
    <t>Trough 42%, milder than past cycles (FY2023 was −9%) given committed contract volumes</t>
  </si>
  <si>
    <t>Micron Technology (MU) — FY2026 Estimate Bridge</t>
  </si>
  <si>
    <t>FY2026E = nine months ended May 28, 2026 (reported) + Q4 FY2026 (company guidance where given; otherwise labeled as an estimate). $ in millions.</t>
  </si>
  <si>
    <t>Line item</t>
  </si>
  <si>
    <t>9M FY2026A</t>
  </si>
  <si>
    <t>Q4 FY2026E</t>
  </si>
  <si>
    <t>Basis for Q4 FY2026E</t>
  </si>
  <si>
    <t>INCOME STATEMENT</t>
  </si>
  <si>
    <t>Guidance midpoint ($50.0B ± $1.0B)</t>
  </si>
  <si>
    <t>Gross margin %</t>
  </si>
  <si>
    <t>Guidance (~86%)</t>
  </si>
  <si>
    <t>Cost of goods sold</t>
  </si>
  <si>
    <t>Revenue × (1 − gross margin)</t>
  </si>
  <si>
    <t>Gross profit</t>
  </si>
  <si>
    <t>Total operating expenses (GAAP)</t>
  </si>
  <si>
    <t>Guidance (~$1.86B GAAP)</t>
  </si>
  <si>
    <t>Research and development</t>
  </si>
  <si>
    <t>Guided opex less other, split on the Q3 FY2026 R&amp;D / SG&amp;A mix</t>
  </si>
  <si>
    <t>Selling, general and administrative</t>
  </si>
  <si>
    <t>Remainder of guided opex</t>
  </si>
  <si>
    <t>Other operating expense / (income)</t>
  </si>
  <si>
    <t>Estimate: Q3 FY2026 level (not guided)</t>
  </si>
  <si>
    <t>Operating income</t>
  </si>
  <si>
    <t>Depreciation and amortization</t>
  </si>
  <si>
    <t>Estimate (not guided): above the 9M average of ~$2.3B/quarter as new capacity ramps</t>
  </si>
  <si>
    <t>Interest income</t>
  </si>
  <si>
    <t>Estimate: Q3 FY2026 level</t>
  </si>
  <si>
    <t>Interest expense</t>
  </si>
  <si>
    <t>Estimate: Q3 FY2026 was nil after debt prepayments</t>
  </si>
  <si>
    <t>Other non-operating income / (expense)</t>
  </si>
  <si>
    <t>Estimate: 9M included losses on debt prepayments</t>
  </si>
  <si>
    <t>Income before taxes</t>
  </si>
  <si>
    <t>Effective tax rate</t>
  </si>
  <si>
    <t>Estimate: in line with the 9M effective rate</t>
  </si>
  <si>
    <t>Income tax expense</t>
  </si>
  <si>
    <t>Estimate</t>
  </si>
  <si>
    <t>CASH FLOW ITEMS</t>
  </si>
  <si>
    <t>Stock-based compensation</t>
  </si>
  <si>
    <t>Guidance reconciliation: $159M COGS + $138M R&amp;D + $67M SG&amp;A</t>
  </si>
  <si>
    <t>Capital expenditures (gross)</t>
  </si>
  <si>
    <t>Guidance: ~$10B Q4 capex; assumes no Q4 government incentives</t>
  </si>
  <si>
    <t>Assumed nil in Q4</t>
  </si>
  <si>
    <t>Capital expenditures, net of incentives</t>
  </si>
  <si>
    <t>Check: guidance is ~$27B for FY2026</t>
  </si>
  <si>
    <t>$0.15/share declared June 24, 2026 × Q3 basic share count</t>
  </si>
  <si>
    <t>Share repurchases (program)</t>
  </si>
  <si>
    <t>Q4 amount not yet reported (FY2026 results due September 30, 2026); assumed nil</t>
  </si>
  <si>
    <t>9M = −$762M equity-award tax withholdings + $583M other</t>
  </si>
  <si>
    <t>REFERENCE INPUTS AND CHECKS</t>
  </si>
  <si>
    <t>Reported 9M FY2026 net income</t>
  </si>
  <si>
    <t>Check: model 9M net income less reported (should be 0)</t>
  </si>
  <si>
    <t>Q3 FY2026 research and development</t>
  </si>
  <si>
    <t>Q3 FY2026 selling, general and administrative</t>
  </si>
  <si>
    <t>Quarterly dividend per share (declared June 24, 2026)</t>
  </si>
  <si>
    <t>Basic shares, Q3 FY2026 (millions)</t>
  </si>
  <si>
    <t>Q4 FY2026 GAAP EPS guidance</t>
  </si>
  <si>
    <t>Q4 guidance share count (millions)</t>
  </si>
  <si>
    <t>Approx. 1.15B diluted shares per guidance</t>
  </si>
  <si>
    <t>Net income implied by Q4 guidance</t>
  </si>
  <si>
    <t>Model Q4 net income vs. guidance-implied</t>
  </si>
  <si>
    <t>Small gap from Q4 estimates for interest, other income and tax</t>
  </si>
  <si>
    <t>Micron Technology (MU) — Three-Statement Model</t>
  </si>
  <si>
    <t>FY2023–FY2025 actuals · FY2026E = 9M actuals + Q4 guidance (FY26 Bridge tab) · FY2027E–FY2031E forecast · $ in millions except per-share data</t>
  </si>
  <si>
    <t>Operating income / (loss)</t>
  </si>
  <si>
    <t>EBITDA margin</t>
  </si>
  <si>
    <t>Other income / (expense)</t>
  </si>
  <si>
    <t>Income / (loss) before taxes</t>
  </si>
  <si>
    <t>Net income / (loss)</t>
  </si>
  <si>
    <t>BALANCE SHEET</t>
  </si>
  <si>
    <t>Cash, cash equivalents and restricted cash</t>
  </si>
  <si>
    <t>Marketable securities</t>
  </si>
  <si>
    <t>Receivables</t>
  </si>
  <si>
    <t>Inventories</t>
  </si>
  <si>
    <t>Other current assets</t>
  </si>
  <si>
    <t>Property, plant and equipment, net</t>
  </si>
  <si>
    <t>Other long-term assets</t>
  </si>
  <si>
    <t>Total assets</t>
  </si>
  <si>
    <t>Accounts payable and accrued expenses</t>
  </si>
  <si>
    <t>Debt</t>
  </si>
  <si>
    <t>Other current liabilities</t>
  </si>
  <si>
    <t>Other long-term liabilities</t>
  </si>
  <si>
    <t>Total liabilities</t>
  </si>
  <si>
    <t>Total equity</t>
  </si>
  <si>
    <t>Total liabilities and equity</t>
  </si>
  <si>
    <t>Balance check</t>
  </si>
  <si>
    <t>Net working capital</t>
  </si>
  <si>
    <t>Debt / capital</t>
  </si>
  <si>
    <t>CASH FLOW STATEMENT</t>
  </si>
  <si>
    <t>Working capital and other cash adjustments</t>
  </si>
  <si>
    <t>Cash flow from operating activities</t>
  </si>
  <si>
    <t>Other investing activities</t>
  </si>
  <si>
    <t>Cash flow from investing activities</t>
  </si>
  <si>
    <t>Net debt issuance / (repayment)</t>
  </si>
  <si>
    <t>Cash flow from financing activities</t>
  </si>
  <si>
    <t>Foreign exchange effect</t>
  </si>
  <si>
    <t>Net change in cash</t>
  </si>
  <si>
    <t>Beginning cash</t>
  </si>
  <si>
    <t>Ending cash</t>
  </si>
  <si>
    <t>Cash-flow reconciliation check</t>
  </si>
  <si>
    <t>Micron Technology (MU) — DCF Valuation</t>
  </si>
  <si>
    <t>The DCF values Micron using cash generated by operations after taxes, capital spending and working capital needs.</t>
  </si>
  <si>
    <t>NOPAT</t>
  </si>
  <si>
    <t>Change in working capital and other operating items</t>
  </si>
  <si>
    <t>Unlevered free cash flow</t>
  </si>
  <si>
    <t>Discount period</t>
  </si>
  <si>
    <t>Discount factor</t>
  </si>
  <si>
    <t>Present value of free cash flow</t>
  </si>
  <si>
    <t>Stock-based compensation is not added back to free cash flow (treated as a real expense).</t>
  </si>
  <si>
    <t>WACC CALCULATION</t>
  </si>
  <si>
    <t>Cost of equity</t>
  </si>
  <si>
    <t>Equity weight</t>
  </si>
  <si>
    <t>Debt weight</t>
  </si>
  <si>
    <t>After-tax cost of debt</t>
  </si>
  <si>
    <t>DCF VALUE</t>
  </si>
  <si>
    <t>Terminal-year free cash flow</t>
  </si>
  <si>
    <t>Terminal value</t>
  </si>
  <si>
    <t>Present value of terminal value</t>
  </si>
  <si>
    <t>Present value of forecast free cash flow</t>
  </si>
  <si>
    <t>Less: net debt / (cash), FY2026E year-end</t>
  </si>
  <si>
    <t>Implied value per share</t>
  </si>
  <si>
    <t>Terminal value as % of enterprise value</t>
  </si>
  <si>
    <t>Implied terminal EV / FY2031E EBITDA</t>
  </si>
  <si>
    <t>Active scenario / beta method</t>
  </si>
  <si>
    <t>VALUE PER SHARE SENSITIVITY — WACC VS. TERMINAL GROWTH</t>
  </si>
  <si>
    <t>WACC ↓ / Terminal growth →</t>
  </si>
  <si>
    <t>WACC step</t>
  </si>
  <si>
    <t>Growth step</t>
  </si>
  <si>
    <t>Beta step</t>
  </si>
  <si>
    <t>VALUE PER SHARE SENSITIVITY — BETA VS. TERMINAL GROWTH</t>
  </si>
  <si>
    <t>Beta ↓ / Terminal growth →</t>
  </si>
  <si>
    <t>Implied WACC</t>
  </si>
  <si>
    <t>Micron Technology (MU) — Model Checks</t>
  </si>
  <si>
    <t>All checks should equal zero</t>
  </si>
  <si>
    <t>Balance sheet check</t>
  </si>
  <si>
    <t>PP&amp;E roll-forward check</t>
  </si>
  <si>
    <t>Debt roll-forward check</t>
  </si>
  <si>
    <t>Equity roll-forward check</t>
  </si>
  <si>
    <t>FY26 Bridge: 9M net income vs. reported</t>
  </si>
  <si>
    <t>DCF enterprise-value check</t>
  </si>
  <si>
    <t>WACC sensitivity center vs. DCF value</t>
  </si>
  <si>
    <t>Beta sensitivity center vs. DCF value</t>
  </si>
  <si>
    <t>Scenario table matches live model (active case)</t>
  </si>
  <si>
    <t>Tolerance</t>
  </si>
  <si>
    <t>Status</t>
  </si>
  <si>
    <t>Interpretation</t>
  </si>
  <si>
    <t>All formula links reconcile when the checks above are zero. If the scenario check fails after changing inputs, update the Summary scenario table.</t>
  </si>
  <si>
    <t>Micron Technology (MU) — Sources and Simplifications</t>
  </si>
  <si>
    <t>Source</t>
  </si>
  <si>
    <t>Period</t>
  </si>
  <si>
    <t>Used for</t>
  </si>
  <si>
    <t>Section</t>
  </si>
  <si>
    <t>URL</t>
  </si>
  <si>
    <t>Notes</t>
  </si>
  <si>
    <t>Micron FY2025 Form 10-K</t>
  </si>
  <si>
    <t>FY2023–FY2025</t>
  </si>
  <si>
    <t>Historical statements</t>
  </si>
  <si>
    <t>Item 8</t>
  </si>
  <si>
    <t>https://s25.q4cdn.com/621799436/files/doc_financials/2025/ar/2025-Form-10-K.pdf</t>
  </si>
  <si>
    <t>Filed October 3, 2025</t>
  </si>
  <si>
    <t>Micron FY2024 Form 10-K</t>
  </si>
  <si>
    <t>FY2023</t>
  </si>
  <si>
    <t>Prior-year balance sheet</t>
  </si>
  <si>
    <t>https://s25.q4cdn.com/621799436/files/doc_financials/2024/ar/2024-10K.pdf</t>
  </si>
  <si>
    <t>Filed October 4, 2024</t>
  </si>
  <si>
    <t>Micron Q3 FY2026 Form 10-Q</t>
  </si>
  <si>
    <t>Nine months ended May 28, 2026</t>
  </si>
  <si>
    <t>Q3 FY2026 debt and net cash</t>
  </si>
  <si>
    <t>Part I, Item 1</t>
  </si>
  <si>
    <t>https://s25.q4cdn.com/621799436/files/doc_financials/2026/q3/0000723125-26-000015.pdf</t>
  </si>
  <si>
    <t>Filed June 25, 2026</t>
  </si>
  <si>
    <t>Micron Q3 FY2026 earnings release (Exhibit 99.1)</t>
  </si>
  <si>
    <t>9M FY2026; Q4 FY2026 outlook</t>
  </si>
  <si>
    <t>FY26 Bridge: 9M actuals; Q4 revenue, margin, opex, EPS, SBC and share-count guidance</t>
  </si>
  <si>
    <t>Financial tables; outlook</t>
  </si>
  <si>
    <t>https://www.sec.gov/Archives/edgar/data/723125/000072312526000013/a2026q3ex991-pressrelease.htm</t>
  </si>
  <si>
    <t>Published June 24, 2026</t>
  </si>
  <si>
    <t>Micron Q3 FY2026 earnings deck</t>
  </si>
  <si>
    <t>Q4 FY2026 outlook</t>
  </si>
  <si>
    <t>Capital-spending guidance (~$10B Q4, ~$27B FY2026)</t>
  </si>
  <si>
    <t>Outlook slides</t>
  </si>
  <si>
    <t>https://s25.q4cdn.com/621799436/files/doc_financials/2026/q3/Micron_Q3_26_Earnings_Deck.pdf</t>
  </si>
  <si>
    <t>Micron Q3 FY2026 prepared remarks</t>
  </si>
  <si>
    <t>FY2027 commentary</t>
  </si>
  <si>
    <t>FY2027 capex and opex direction; capital return approach</t>
  </si>
  <si>
    <t>Outlook</t>
  </si>
  <si>
    <t>https://investors.micron.com/static-files/631b1a32-5537-46ae-8f40-82e42fc79dfe</t>
  </si>
  <si>
    <t>Yahoo Finance / Nasdaq market data</t>
  </si>
  <si>
    <t>September 14, 2026</t>
  </si>
  <si>
    <t>Share price ($924.03 close); 5-year monthly beta (2.22)</t>
  </si>
  <si>
    <t>n.a.</t>
  </si>
  <si>
    <t>https://finance.yahoo.com/quote/MU/</t>
  </si>
  <si>
    <t>Close on 9/14/2026</t>
  </si>
  <si>
    <t>Trading Economics / FRED (DGS10)</t>
  </si>
  <si>
    <t>Risk-free rate: 10-year Treasury (~4.99%)</t>
  </si>
  <si>
    <t>https://fred.stlouisfed.org/series/dgs10</t>
  </si>
  <si>
    <t>Damodaran — Implied equity risk premium</t>
  </si>
  <si>
    <t>January 2026</t>
  </si>
  <si>
    <t>Equity risk premium (4.23%)</t>
  </si>
  <si>
    <t>https://pages.stern.nyu.edu/~adamodar/New_Home_Page/datafile/histimpl.html</t>
  </si>
  <si>
    <t>Implied premium at the start of 2026</t>
  </si>
  <si>
    <t>Damodaran — Betas by Sector (US)</t>
  </si>
  <si>
    <t>Semiconductor unlevered beta, cash-corrected (1.50)</t>
  </si>
  <si>
    <t>https://pages.stern.nyu.edu/~adamodar/New_Home_Page/datafile/Betas.html</t>
  </si>
  <si>
    <t>Relevered on the Assumptions tab</t>
  </si>
  <si>
    <t>SIMPLIFICATIONS</t>
  </si>
  <si>
    <t>Forecast as one company wide total rather than separate DRAM and NAND schedules. Bull and bear cases change only revenue growth and gross margin.</t>
  </si>
  <si>
    <t>FY2026 estimate</t>
  </si>
  <si>
    <t>Built on the FY26 Bridge tab from nine month actuals plus Q4 guidance; Q4 items without guidance are labeled estimates. FY2026 results are scheduled for release on September 30, 2026.</t>
  </si>
  <si>
    <t>Working capital</t>
  </si>
  <si>
    <t>Receivables, inventory and payables use days (DSO, DIO, DPO) on a 365 day basis; other items use percentages of revenue.</t>
  </si>
  <si>
    <t>PP&amp;E</t>
  </si>
  <si>
    <t>Beginning PP&amp;E plus capital expenditures, less government incentives and depreciation.</t>
  </si>
  <si>
    <t>Debt and equity</t>
  </si>
  <si>
    <t>Direct year end debt and dividend inputs. Buybacks equal a payout share of free cash flow less dividends. Diluted shares fall with buybacks and rise with stock based compensation, both at an assumed price. Other financing and FX flows are routed through equity.</t>
  </si>
  <si>
    <t>DCF</t>
  </si>
  <si>
    <t>Mid year convention, one WACC, Gordon Growth terminal value. Stock-based compensation is not added back. Operating cash flow adjustments match the cash flow statement.</t>
  </si>
  <si>
    <t>Net cash</t>
  </si>
  <si>
    <t>Uses FY2026E year end net cash. Customer deposits under Strategic Customer Agreements are recorded in financing and are expected to be returned to customers later. The model does not deduct them from net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</si>
</sst>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dd/yyyy"/>
    <numFmt numFmtId="165" formatCode="\$0.00;&quot;($&quot;0.00\);\-"/>
    <numFmt numFmtId="166" formatCode="0.0%;\(0.0%\);\-"/>
    <numFmt numFmtId="167" formatCode="#,##0;\(#,##0\);\-"/>
    <numFmt numFmtId="168" formatCode="0.0\x"/>
    <numFmt numFmtId="169" formatCode="mm/dd/yy"/>
    <numFmt numFmtId="170" formatCode="0.0"/>
    <numFmt numFmtId="171" formatCode="0.000"/>
    <numFmt numFmtId="172" formatCode="\$#,##0;&quot;($&quot;#,##0\);\-"/>
    <numFmt numFmtId="173" formatCode="0.00;\(0.00\);0.00"/>
  </numFmts>
  <fonts count="12">
    <font>
      <sz val="11"/>
      <name val="Calibri"/>
      <charset val="1"/>
    </font>
    <font>
      <b/>
      <sz val="16"/>
      <color rgb="FF000000"/>
      <name val="Arial"/>
      <charset val="1"/>
    </font>
    <font>
      <i/>
      <sz val="10"/>
      <color rgb="FF404040"/>
      <name val="Arial"/>
      <charset val="1"/>
    </font>
    <font>
      <b/>
      <sz val="10"/>
      <color rgb="FFFFFFFF"/>
      <name val="Arial"/>
      <charset val="1"/>
    </font>
    <font>
      <sz val="10"/>
      <color rgb="FF000000"/>
      <name val="Arial"/>
      <charset val="1"/>
    </font>
    <font>
      <sz val="10"/>
      <color rgb="FF008000"/>
      <name val="Arial"/>
      <charset val="1"/>
    </font>
    <font>
      <b/>
      <sz val="11"/>
      <color rgb="FF000000"/>
      <name val="Arial"/>
      <charset val="1"/>
    </font>
    <font>
      <b/>
      <sz val="10"/>
      <color rgb="FF008000"/>
      <name val="Arial"/>
      <charset val="1"/>
    </font>
    <font>
      <b/>
      <sz val="10"/>
      <color rgb="FF000000"/>
      <name val="Arial"/>
      <charset val="1"/>
    </font>
    <font>
      <sz val="10"/>
      <color rgb="FF0070C0"/>
      <name val="Arial"/>
      <charset val="1"/>
    </font>
    <font>
      <i/>
      <sz val="9"/>
      <color rgb="FF404040"/>
      <name val="Arial"/>
      <charset val="1"/>
    </font>
    <font>
      <b/>
      <sz val="10"/>
      <color rgb="FF0070C0"/>
      <name val="Arial"/>
      <charset val="1"/>
    </font>
  </fonts>
  <fills count="7">
    <fill>
      <patternFill patternType="none"/>
    </fill>
    <fill>
      <patternFill patternType="gray125"/>
    </fill>
    <fill>
      <patternFill patternType="solid">
        <fgColor rgb="FFFFFFFF"/>
        <bgColor rgb="FFFFF2CC"/>
      </patternFill>
    </fill>
    <fill>
      <patternFill patternType="solid">
        <fgColor rgb="FF1F4E78"/>
        <bgColor rgb="FF003366"/>
      </patternFill>
    </fill>
    <fill>
      <patternFill patternType="solid">
        <fgColor rgb="FFD9EAF7"/>
        <bgColor rgb="FFE7E6E6"/>
      </patternFill>
    </fill>
    <fill>
      <patternFill patternType="solid">
        <fgColor rgb="FFFFF2CC"/>
        <bgColor rgb="FFE7E6E6"/>
      </patternFill>
    </fill>
    <fill>
      <patternFill patternType="solid">
        <fgColor theme="0"/>
        <bgColor indexed="64"/>
      </patternFill>
    </fill>
  </fills>
  <borders count="9">
    <border>
      <left/>
      <right/>
      <top/>
      <bottom/>
      <diagonal/>
    </border>
    <border>
      <left/>
      <right/>
      <top/>
      <bottom style="thin">
        <color rgb="FF1F4E78"/>
      </bottom>
      <diagonal/>
    </border>
    <border>
      <left style="thin">
        <color rgb="FF1F4E78"/>
      </left>
      <right style="thin">
        <color rgb="FF1F4E78"/>
      </right>
      <top style="thin">
        <color rgb="FF1F4E78"/>
      </top>
      <bottom style="thin">
        <color rgb="FF1F4E78"/>
      </bottom>
      <diagonal/>
    </border>
    <border>
      <left style="thin">
        <color rgb="FF1F4E78"/>
      </left>
      <right/>
      <top style="thin">
        <color rgb="FF1F4E78"/>
      </top>
      <bottom/>
      <diagonal/>
    </border>
    <border>
      <left/>
      <right style="thin">
        <color rgb="FF1F4E78"/>
      </right>
      <top style="thin">
        <color rgb="FF1F4E78"/>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7E6E6"/>
      </bottom>
      <diagonal/>
    </border>
  </borders>
  <cellStyleXfs count="1">
    <xf numFmtId="0" fontId="0" fillId="0" borderId="0"/>
  </cellStyleXfs>
  <cellXfs count="60">
    <xf numFmtId="0" fontId="0" fillId="0" borderId="0" xfId="0"/>
    <xf numFmtId="0" fontId="4" fillId="2" borderId="0" xfId="0" applyFont="1" applyFill="1" applyAlignment="1">
      <alignment indent="1"/>
    </xf>
    <xf numFmtId="0" fontId="4" fillId="2" borderId="0" xfId="0" applyFont="1" applyFill="1" applyAlignment="1">
      <alignment vertical="center"/>
    </xf>
    <xf numFmtId="0" fontId="4" fillId="2" borderId="0" xfId="0" applyFont="1" applyFill="1" applyAlignment="1">
      <alignment indent="2"/>
    </xf>
    <xf numFmtId="0" fontId="8" fillId="4" borderId="0" xfId="0" applyFont="1" applyFill="1" applyAlignment="1">
      <alignment horizontal="center" vertical="center"/>
    </xf>
    <xf numFmtId="0" fontId="4" fillId="2" borderId="0" xfId="0" applyFont="1" applyFill="1" applyAlignment="1">
      <alignment vertical="top" wrapText="1"/>
    </xf>
    <xf numFmtId="0" fontId="3" fillId="3" borderId="2" xfId="0" applyFont="1" applyFill="1" applyBorder="1" applyAlignment="1">
      <alignment vertical="center"/>
    </xf>
    <xf numFmtId="0" fontId="1" fillId="2" borderId="1" xfId="0" applyFont="1" applyFill="1" applyBorder="1" applyAlignment="1">
      <alignment vertical="center"/>
    </xf>
    <xf numFmtId="0" fontId="2" fillId="2" borderId="0" xfId="0" applyFont="1" applyFill="1" applyAlignment="1">
      <alignment vertical="center"/>
    </xf>
    <xf numFmtId="0" fontId="4" fillId="2" borderId="0" xfId="0" applyFont="1" applyFill="1" applyAlignment="1">
      <alignment vertical="center"/>
    </xf>
    <xf numFmtId="164" fontId="5" fillId="2" borderId="0" xfId="0" applyNumberFormat="1" applyFont="1" applyFill="1" applyAlignment="1">
      <alignment vertical="center"/>
    </xf>
    <xf numFmtId="0" fontId="4" fillId="2" borderId="0" xfId="0" applyFont="1" applyFill="1" applyAlignment="1">
      <alignment vertical="top" wrapText="1"/>
    </xf>
    <xf numFmtId="165" fontId="5" fillId="2" borderId="0" xfId="0" applyNumberFormat="1" applyFont="1" applyFill="1" applyAlignment="1">
      <alignment vertical="center"/>
    </xf>
    <xf numFmtId="0" fontId="6" fillId="4" borderId="3" xfId="0" applyFont="1" applyFill="1" applyBorder="1" applyAlignment="1">
      <alignment vertical="center"/>
    </xf>
    <xf numFmtId="165" fontId="7" fillId="4" borderId="4" xfId="0" applyNumberFormat="1" applyFont="1" applyFill="1" applyBorder="1" applyAlignment="1">
      <alignment vertical="center"/>
    </xf>
    <xf numFmtId="166" fontId="5" fillId="2" borderId="0" xfId="0" applyNumberFormat="1" applyFont="1" applyFill="1" applyAlignment="1">
      <alignment vertical="center"/>
    </xf>
    <xf numFmtId="167" fontId="5" fillId="2" borderId="0" xfId="0" applyNumberFormat="1" applyFont="1" applyFill="1" applyAlignment="1">
      <alignment vertical="center"/>
    </xf>
    <xf numFmtId="2" fontId="5" fillId="2" borderId="0" xfId="0" applyNumberFormat="1" applyFont="1" applyFill="1" applyAlignment="1">
      <alignment vertical="center"/>
    </xf>
    <xf numFmtId="168" fontId="5" fillId="2" borderId="0" xfId="0" applyNumberFormat="1" applyFont="1" applyFill="1" applyAlignment="1">
      <alignment vertical="center"/>
    </xf>
    <xf numFmtId="0" fontId="8" fillId="4" borderId="0" xfId="0" applyFont="1" applyFill="1" applyAlignment="1">
      <alignment horizontal="center" vertical="center"/>
    </xf>
    <xf numFmtId="0" fontId="8" fillId="2" borderId="0" xfId="0" applyFont="1" applyFill="1" applyAlignment="1">
      <alignment vertical="center"/>
    </xf>
    <xf numFmtId="165" fontId="9" fillId="5" borderId="0" xfId="0" applyNumberFormat="1" applyFont="1" applyFill="1" applyAlignment="1">
      <alignment vertical="center"/>
    </xf>
    <xf numFmtId="166" fontId="4" fillId="2" borderId="0" xfId="0" applyNumberFormat="1" applyFont="1" applyFill="1" applyAlignment="1">
      <alignment vertical="center"/>
    </xf>
    <xf numFmtId="167" fontId="7" fillId="2" borderId="0" xfId="0" applyNumberFormat="1" applyFont="1" applyFill="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0" fillId="2" borderId="0" xfId="0" applyFont="1" applyFill="1" applyAlignment="1">
      <alignment vertical="center"/>
    </xf>
    <xf numFmtId="166" fontId="9" fillId="5" borderId="0" xfId="0" applyNumberFormat="1" applyFont="1" applyFill="1" applyAlignment="1">
      <alignment vertical="center"/>
    </xf>
    <xf numFmtId="0" fontId="5" fillId="2" borderId="0" xfId="0" applyFont="1" applyFill="1" applyAlignment="1">
      <alignment vertical="center"/>
    </xf>
    <xf numFmtId="1" fontId="5" fillId="2" borderId="0" xfId="0" applyNumberFormat="1" applyFont="1" applyFill="1" applyAlignment="1">
      <alignment vertical="center"/>
    </xf>
    <xf numFmtId="1" fontId="9" fillId="5" borderId="0" xfId="0" applyNumberFormat="1" applyFont="1" applyFill="1" applyAlignment="1">
      <alignment vertical="center"/>
    </xf>
    <xf numFmtId="167" fontId="9" fillId="5" borderId="0" xfId="0" applyNumberFormat="1" applyFont="1" applyFill="1" applyAlignment="1">
      <alignment vertical="center"/>
    </xf>
    <xf numFmtId="167" fontId="4" fillId="2" borderId="0" xfId="0" applyNumberFormat="1" applyFont="1" applyFill="1" applyAlignment="1">
      <alignment vertical="center"/>
    </xf>
    <xf numFmtId="169" fontId="9" fillId="5" borderId="0" xfId="0" applyNumberFormat="1" applyFont="1" applyFill="1" applyAlignment="1">
      <alignment vertical="center"/>
    </xf>
    <xf numFmtId="10" fontId="9" fillId="5" borderId="0" xfId="0" applyNumberFormat="1" applyFont="1" applyFill="1" applyAlignment="1">
      <alignment vertical="center"/>
    </xf>
    <xf numFmtId="2" fontId="4" fillId="2" borderId="0" xfId="0" applyNumberFormat="1" applyFont="1" applyFill="1" applyAlignment="1">
      <alignment vertical="center"/>
    </xf>
    <xf numFmtId="2" fontId="9" fillId="5" borderId="0" xfId="0" applyNumberFormat="1" applyFont="1" applyFill="1" applyAlignment="1">
      <alignment vertical="center"/>
    </xf>
    <xf numFmtId="165" fontId="4" fillId="2" borderId="0" xfId="0" applyNumberFormat="1" applyFont="1" applyFill="1" applyAlignment="1">
      <alignment vertical="center"/>
    </xf>
    <xf numFmtId="167" fontId="8" fillId="2" borderId="0" xfId="0" applyNumberFormat="1" applyFont="1" applyFill="1" applyAlignment="1">
      <alignment vertical="center"/>
    </xf>
    <xf numFmtId="0" fontId="10" fillId="2" borderId="0" xfId="0" applyFont="1" applyFill="1" applyAlignment="1">
      <alignment indent="1"/>
    </xf>
    <xf numFmtId="167" fontId="11" fillId="2" borderId="0" xfId="0" applyNumberFormat="1" applyFont="1" applyFill="1" applyAlignment="1">
      <alignment vertical="center"/>
    </xf>
    <xf numFmtId="166" fontId="2" fillId="2" borderId="0" xfId="0" applyNumberFormat="1" applyFont="1" applyFill="1" applyAlignment="1">
      <alignment vertical="center"/>
    </xf>
    <xf numFmtId="167" fontId="9" fillId="2" borderId="0" xfId="0" applyNumberFormat="1" applyFont="1" applyFill="1" applyAlignment="1">
      <alignment vertical="center"/>
    </xf>
    <xf numFmtId="0" fontId="8" fillId="2" borderId="8" xfId="0" applyFont="1" applyFill="1" applyBorder="1" applyAlignment="1">
      <alignment vertical="center"/>
    </xf>
    <xf numFmtId="167" fontId="8" fillId="2" borderId="8" xfId="0" applyNumberFormat="1" applyFont="1" applyFill="1" applyBorder="1" applyAlignment="1">
      <alignment vertical="center"/>
    </xf>
    <xf numFmtId="170" fontId="9" fillId="2" borderId="0" xfId="0" applyNumberFormat="1" applyFont="1" applyFill="1" applyAlignment="1">
      <alignment vertical="center"/>
    </xf>
    <xf numFmtId="171" fontId="4" fillId="2" borderId="0" xfId="0" applyNumberFormat="1" applyFont="1" applyFill="1" applyAlignment="1">
      <alignment vertical="center"/>
    </xf>
    <xf numFmtId="10" fontId="5" fillId="2" borderId="0" xfId="0" applyNumberFormat="1" applyFont="1" applyFill="1" applyAlignment="1">
      <alignment vertical="center"/>
    </xf>
    <xf numFmtId="172" fontId="4" fillId="2" borderId="0" xfId="0" applyNumberFormat="1" applyFont="1" applyFill="1" applyAlignment="1">
      <alignment vertical="center"/>
    </xf>
    <xf numFmtId="166" fontId="8" fillId="2" borderId="0" xfId="0" applyNumberFormat="1" applyFont="1" applyFill="1" applyAlignment="1">
      <alignment vertical="center"/>
    </xf>
    <xf numFmtId="165" fontId="8" fillId="4" borderId="4" xfId="0" applyNumberFormat="1" applyFont="1" applyFill="1" applyBorder="1" applyAlignment="1">
      <alignment vertical="center"/>
    </xf>
    <xf numFmtId="168" fontId="4" fillId="2" borderId="0" xfId="0" applyNumberFormat="1" applyFont="1" applyFill="1" applyAlignment="1">
      <alignment vertical="center"/>
    </xf>
    <xf numFmtId="165" fontId="4" fillId="2" borderId="0" xfId="0" applyNumberFormat="1" applyFont="1" applyFill="1" applyAlignment="1">
      <alignment horizontal="right"/>
    </xf>
    <xf numFmtId="166" fontId="8" fillId="4" borderId="0" xfId="0" applyNumberFormat="1" applyFont="1" applyFill="1" applyAlignment="1">
      <alignment horizontal="center" vertical="center"/>
    </xf>
    <xf numFmtId="2" fontId="8" fillId="4" borderId="0" xfId="0" applyNumberFormat="1" applyFont="1" applyFill="1" applyAlignment="1">
      <alignment horizontal="center" vertical="center"/>
    </xf>
    <xf numFmtId="173" fontId="4" fillId="2" borderId="0" xfId="0" applyNumberFormat="1" applyFont="1" applyFill="1" applyAlignment="1">
      <alignment vertical="center"/>
    </xf>
    <xf numFmtId="173" fontId="9" fillId="5" borderId="0" xfId="0" applyNumberFormat="1" applyFont="1" applyFill="1" applyAlignment="1">
      <alignment vertical="center"/>
    </xf>
    <xf numFmtId="0" fontId="8" fillId="2" borderId="0" xfId="0" applyFont="1" applyFill="1" applyAlignment="1">
      <alignment vertical="top"/>
    </xf>
    <xf numFmtId="0" fontId="3" fillId="6" borderId="0" xfId="0" applyFont="1" applyFill="1" applyBorder="1" applyAlignment="1">
      <alignment vertical="center"/>
    </xf>
  </cellXfs>
  <cellStyles count="1">
    <cellStyle name="Normal" xfId="0" builtinId="0"/>
  </cellStyles>
  <dxfs count="2">
    <dxf>
      <font>
        <b/>
        <color rgb="FFC00000"/>
      </font>
    </dxf>
    <dxf>
      <font>
        <b/>
        <color rgb="FFC0000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2CC"/>
      <rgbColor rgb="FFD9EAF7"/>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B2:K46"/>
  <sheetViews>
    <sheetView showGridLines="0" tabSelected="1" zoomScaleNormal="100" workbookViewId="0">
      <selection activeCell="B19" sqref="B19:K19"/>
    </sheetView>
  </sheetViews>
  <sheetFormatPr defaultColWidth="8.7109375" defaultRowHeight="15"/>
  <cols>
    <col min="1" max="1" width="2" customWidth="1"/>
    <col min="2" max="2" width="34" customWidth="1"/>
    <col min="3" max="11" width="14" customWidth="1"/>
  </cols>
  <sheetData>
    <row r="2" spans="2:11" ht="19.5" customHeight="1">
      <c r="B2" s="7" t="s">
        <v>0</v>
      </c>
      <c r="C2" s="7"/>
      <c r="D2" s="7"/>
      <c r="E2" s="7"/>
      <c r="F2" s="7"/>
      <c r="G2" s="7"/>
      <c r="H2" s="7"/>
      <c r="I2" s="7"/>
      <c r="J2" s="7"/>
      <c r="K2" s="7"/>
    </row>
    <row r="3" spans="2:11" ht="15" customHeight="1">
      <c r="B3" s="8" t="str">
        <f>"$ in millions except per share data · Active case: "&amp;CHOOSE(Assumptions!C62,"Base","Bull","Bear")</f>
        <v>$ in millions except per share data · Active case: Base</v>
      </c>
    </row>
    <row r="5" spans="2:11" ht="15" customHeight="1">
      <c r="B5" s="6" t="s">
        <v>1</v>
      </c>
      <c r="C5" s="6"/>
      <c r="E5" s="6" t="s">
        <v>2</v>
      </c>
      <c r="F5" s="6"/>
      <c r="G5" s="6"/>
      <c r="H5" s="6"/>
      <c r="I5" s="6"/>
      <c r="J5" s="6"/>
      <c r="K5" s="6"/>
    </row>
    <row r="6" spans="2:11" ht="15" customHeight="1">
      <c r="B6" s="9" t="s">
        <v>3</v>
      </c>
      <c r="C6" s="10">
        <f>Assumptions!C36</f>
        <v>46279</v>
      </c>
      <c r="E6" s="5" t="str">
        <f>"Base case of "&amp;TEXT(C21,"$#,##0")&amp;" per share is "&amp;TEXT(ABS(D21),"0%")&amp;IF(D21&lt;0," below"," above")&amp;" the "&amp;TEXT(Assumptions!C37,"$#,##0")&amp;" share price (bull "&amp;TEXT(C22,"$#,##0")&amp;", bear "&amp;TEXT(C23,"$#,##0")&amp;")."</f>
        <v>Base case of $649 per share is 30% below the $924 share price (bull $939, bear $258).</v>
      </c>
      <c r="F6" s="5"/>
      <c r="G6" s="5"/>
      <c r="H6" s="5"/>
      <c r="I6" s="5"/>
      <c r="J6" s="5"/>
      <c r="K6" s="5"/>
    </row>
    <row r="7" spans="2:11" ht="15" customHeight="1">
      <c r="B7" s="9" t="s">
        <v>4</v>
      </c>
      <c r="C7" s="12">
        <f>Assumptions!C37</f>
        <v>924.03</v>
      </c>
      <c r="E7" s="5"/>
      <c r="F7" s="5"/>
      <c r="G7" s="5"/>
      <c r="H7" s="5"/>
      <c r="I7" s="5"/>
      <c r="J7" s="5"/>
      <c r="K7" s="5"/>
    </row>
    <row r="8" spans="2:11" ht="15" customHeight="1">
      <c r="B8" s="13" t="s">
        <v>5</v>
      </c>
      <c r="C8" s="14">
        <f>DCF!C40</f>
        <v>649.12365540173096</v>
      </c>
      <c r="E8" s="5"/>
      <c r="F8" s="5"/>
      <c r="G8" s="5"/>
      <c r="H8" s="5"/>
      <c r="I8" s="5"/>
      <c r="J8" s="5"/>
      <c r="K8" s="5"/>
    </row>
    <row r="9" spans="2:11" ht="15" customHeight="1">
      <c r="B9" s="9" t="s">
        <v>6</v>
      </c>
      <c r="C9" s="15">
        <f>DCF!C42</f>
        <v>-0.29750802960755496</v>
      </c>
      <c r="E9" s="5" t="str">
        <f>"At "&amp;TEXT(Assumptions!C37,"$#,##0")&amp;", the stock is priced close to the bull case: FY2027 revenue near the ~$50B quarterly run rate Micron guided for Q4 FY2026, and a ~65% long run gross margin."</f>
        <v>At $924, the stock is priced close to the bull case: FY2027 revenue near the ~$50B quarterly run rate Micron guided for Q4 FY2026, and a ~65% long run gross margin.</v>
      </c>
      <c r="F9" s="5"/>
      <c r="G9" s="5"/>
      <c r="H9" s="5"/>
      <c r="I9" s="5"/>
      <c r="J9" s="5"/>
      <c r="K9" s="5"/>
    </row>
    <row r="10" spans="2:11" ht="15" customHeight="1">
      <c r="B10" s="9" t="s">
        <v>7</v>
      </c>
      <c r="C10" s="16">
        <f>DCF!C36</f>
        <v>692804.12754760706</v>
      </c>
      <c r="E10" s="5"/>
      <c r="F10" s="5"/>
      <c r="G10" s="5"/>
      <c r="H10" s="5"/>
      <c r="I10" s="5"/>
      <c r="J10" s="5"/>
      <c r="K10" s="5"/>
    </row>
    <row r="11" spans="2:11" ht="15" customHeight="1">
      <c r="B11" s="9" t="s">
        <v>8</v>
      </c>
      <c r="C11" s="16">
        <f>DCF!C38</f>
        <v>746492.20371199062</v>
      </c>
      <c r="E11" s="5"/>
      <c r="F11" s="5"/>
      <c r="G11" s="5"/>
      <c r="H11" s="5"/>
      <c r="I11" s="5"/>
      <c r="J11" s="5"/>
      <c r="K11" s="5"/>
    </row>
    <row r="12" spans="2:11" ht="15" customHeight="1">
      <c r="B12" s="9" t="s">
        <v>9</v>
      </c>
      <c r="C12" s="15">
        <f>DCF!C28</f>
        <v>0.11325939172925892</v>
      </c>
      <c r="E12" s="5" t="str">
        <f>"The base case has memory pricing easing as new industry capacity arrives in 2027–28, taking gross margin from "&amp;TEXT(Statements!F11,"0%")&amp;" in FY2026E to "&amp;TEXT(Assumptions!K66,"0%")&amp;" by FY2031E, near Micron's prior-cycle peak."</f>
        <v>The base case has memory pricing easing as new industry capacity arrives in 2027–28, taking gross margin from 80% in FY2026E to 60% by FY2031E, near Micron's prior-cycle peak.</v>
      </c>
      <c r="F12" s="5"/>
      <c r="G12" s="5"/>
      <c r="H12" s="5"/>
      <c r="I12" s="5"/>
      <c r="J12" s="5"/>
      <c r="K12" s="5"/>
    </row>
    <row r="13" spans="2:11" ht="15" customHeight="1">
      <c r="B13" s="9" t="s">
        <v>10</v>
      </c>
      <c r="C13" s="17">
        <f>DCF!C20</f>
        <v>1.5068655309045584</v>
      </c>
      <c r="E13" s="5"/>
      <c r="F13" s="5"/>
      <c r="G13" s="5"/>
      <c r="H13" s="5"/>
      <c r="I13" s="5"/>
      <c r="J13" s="5"/>
      <c r="K13" s="5"/>
    </row>
    <row r="14" spans="2:11" ht="15" customHeight="1">
      <c r="B14" s="9" t="s">
        <v>11</v>
      </c>
      <c r="C14" s="15">
        <f>DCF!C31</f>
        <v>0.03</v>
      </c>
      <c r="E14" s="5"/>
      <c r="F14" s="5"/>
      <c r="G14" s="5"/>
      <c r="H14" s="5"/>
      <c r="I14" s="5"/>
      <c r="J14" s="5"/>
      <c r="K14" s="5"/>
    </row>
    <row r="15" spans="2:11" ht="15" customHeight="1">
      <c r="B15" s="9" t="s">
        <v>12</v>
      </c>
      <c r="C15" s="15">
        <f>DCF!C43</f>
        <v>0.6544206584410599</v>
      </c>
      <c r="E15" s="5" t="str">
        <f>"About $100B of committed revenue under Micron's strategic customer agreements should make the next downturn milder than past cycles,"&amp;" but the bear case shows the value at risk. View: risk/reward is unfavorable at the current price. The question is how long AI driven margins last?"</f>
        <v>About $100B of committed revenue under Micron's strategic customer agreements should make the next downturn milder than past cycles, but the bear case shows the value at risk. View: risk/reward is unfavorable at the current price. The question is how long AI driven margins last?</v>
      </c>
      <c r="F15" s="5"/>
      <c r="G15" s="5"/>
      <c r="H15" s="5"/>
      <c r="I15" s="5"/>
      <c r="J15" s="5"/>
      <c r="K15" s="5"/>
    </row>
    <row r="16" spans="2:11" ht="15" customHeight="1">
      <c r="B16" s="9" t="s">
        <v>13</v>
      </c>
      <c r="C16" s="18">
        <f>DCF!C44</f>
        <v>7.3177777785910116</v>
      </c>
      <c r="E16" s="5"/>
      <c r="F16" s="5"/>
      <c r="G16" s="5"/>
      <c r="H16" s="5"/>
      <c r="I16" s="5"/>
      <c r="J16" s="5"/>
      <c r="K16" s="5"/>
    </row>
    <row r="17" spans="2:11" ht="15" customHeight="1">
      <c r="B17" s="9" t="s">
        <v>14</v>
      </c>
      <c r="C17" s="16">
        <f>-DCF!C37</f>
        <v>53688.076164383572</v>
      </c>
      <c r="E17" s="5"/>
      <c r="F17" s="5"/>
      <c r="G17" s="5"/>
      <c r="H17" s="5"/>
      <c r="I17" s="5"/>
      <c r="J17" s="5"/>
      <c r="K17" s="5"/>
    </row>
    <row r="19" spans="2:11" ht="15" customHeight="1">
      <c r="B19" s="6" t="s">
        <v>15</v>
      </c>
      <c r="C19" s="6"/>
      <c r="D19" s="6"/>
      <c r="E19" s="6"/>
      <c r="F19" s="6"/>
      <c r="G19" s="6"/>
      <c r="H19" s="6"/>
      <c r="I19" s="6"/>
      <c r="J19" s="6"/>
      <c r="K19" s="6"/>
    </row>
    <row r="20" spans="2:11" ht="15" customHeight="1">
      <c r="B20" s="19" t="s">
        <v>16</v>
      </c>
      <c r="C20" s="19" t="s">
        <v>17</v>
      </c>
      <c r="D20" s="19" t="s">
        <v>18</v>
      </c>
      <c r="E20" s="19" t="s">
        <v>19</v>
      </c>
      <c r="F20" s="19" t="s">
        <v>18</v>
      </c>
      <c r="G20" s="4" t="s">
        <v>20</v>
      </c>
      <c r="H20" s="4"/>
      <c r="I20" s="4"/>
      <c r="J20" s="4"/>
      <c r="K20" s="4"/>
    </row>
    <row r="21" spans="2:11" ht="15" customHeight="1">
      <c r="B21" s="20" t="s">
        <v>21</v>
      </c>
      <c r="C21" s="21">
        <v>649.12</v>
      </c>
      <c r="D21" s="22">
        <f>C21/Assumptions!$C$37-1</f>
        <v>-0.29751198554159497</v>
      </c>
      <c r="E21" s="21">
        <v>500.17</v>
      </c>
      <c r="F21" s="22">
        <f>E21/Assumptions!$C$37-1</f>
        <v>-0.45870805060441755</v>
      </c>
      <c r="G21" s="3" t="s">
        <v>22</v>
      </c>
      <c r="H21" s="3"/>
      <c r="I21" s="3"/>
      <c r="J21" s="3"/>
      <c r="K21" s="3"/>
    </row>
    <row r="22" spans="2:11" ht="15" customHeight="1">
      <c r="B22" s="20" t="s">
        <v>23</v>
      </c>
      <c r="C22" s="21">
        <v>939.08</v>
      </c>
      <c r="D22" s="22">
        <f>C22/Assumptions!$C$37-1</f>
        <v>1.6287349977814669E-2</v>
      </c>
      <c r="E22" s="21">
        <v>714.79</v>
      </c>
      <c r="F22" s="22">
        <f>E22/Assumptions!$C$37-1</f>
        <v>-0.22644286440916417</v>
      </c>
      <c r="G22" s="3" t="s">
        <v>24</v>
      </c>
      <c r="H22" s="3"/>
      <c r="I22" s="3"/>
      <c r="J22" s="3"/>
      <c r="K22" s="3"/>
    </row>
    <row r="23" spans="2:11" ht="15" customHeight="1">
      <c r="B23" s="20" t="s">
        <v>25</v>
      </c>
      <c r="C23" s="21">
        <v>258.39999999999998</v>
      </c>
      <c r="D23" s="22">
        <f>C23/Assumptions!$C$37-1</f>
        <v>-0.72035539971645945</v>
      </c>
      <c r="E23" s="21">
        <v>210.69</v>
      </c>
      <c r="F23" s="22">
        <f>E23/Assumptions!$C$37-1</f>
        <v>-0.77198792247004966</v>
      </c>
      <c r="G23" s="3" t="s">
        <v>26</v>
      </c>
      <c r="H23" s="3"/>
      <c r="I23" s="3"/>
      <c r="J23" s="3"/>
      <c r="K23" s="3"/>
    </row>
    <row r="25" spans="2:11" ht="15" customHeight="1">
      <c r="B25" s="6" t="s">
        <v>27</v>
      </c>
      <c r="C25" s="6"/>
      <c r="D25" s="6"/>
      <c r="E25" s="6"/>
      <c r="F25" s="6"/>
      <c r="G25" s="6"/>
      <c r="H25" s="6"/>
      <c r="I25" s="6"/>
      <c r="J25" s="6"/>
      <c r="K25" s="6"/>
    </row>
    <row r="26" spans="2:11" ht="15" customHeight="1">
      <c r="B26" s="19" t="s">
        <v>28</v>
      </c>
      <c r="C26" s="19" t="s">
        <v>29</v>
      </c>
      <c r="D26" s="19" t="s">
        <v>30</v>
      </c>
      <c r="E26" s="19" t="s">
        <v>31</v>
      </c>
      <c r="F26" s="19" t="s">
        <v>32</v>
      </c>
      <c r="G26" s="19" t="s">
        <v>33</v>
      </c>
      <c r="H26" s="19" t="s">
        <v>34</v>
      </c>
      <c r="I26" s="19" t="s">
        <v>35</v>
      </c>
    </row>
    <row r="27" spans="2:11" ht="15" customHeight="1">
      <c r="B27" s="20" t="s">
        <v>36</v>
      </c>
      <c r="C27" s="23">
        <f>Statements!E7</f>
        <v>37378</v>
      </c>
      <c r="D27" s="23">
        <f>Statements!F7</f>
        <v>128959</v>
      </c>
      <c r="E27" s="23">
        <f>Statements!G7</f>
        <v>152171.62</v>
      </c>
      <c r="F27" s="23">
        <f>Statements!H7</f>
        <v>161301.9172</v>
      </c>
      <c r="G27" s="23">
        <f>Statements!I7</f>
        <v>145171.72547999999</v>
      </c>
      <c r="H27" s="23">
        <f>Statements!J7</f>
        <v>137913.13920599999</v>
      </c>
      <c r="I27" s="23">
        <f>Statements!K7</f>
        <v>146187.92755836001</v>
      </c>
    </row>
    <row r="28" spans="2:11" ht="15" customHeight="1">
      <c r="B28" s="9" t="s">
        <v>37</v>
      </c>
      <c r="C28" s="15">
        <f>Statements!E8</f>
        <v>0.48851101111066852</v>
      </c>
      <c r="D28" s="15">
        <f>Statements!F8</f>
        <v>2.450131093156402</v>
      </c>
      <c r="E28" s="15">
        <f>Statements!G8</f>
        <v>0.17999999999999994</v>
      </c>
      <c r="F28" s="15">
        <f>Statements!H8</f>
        <v>6.0000000000000053E-2</v>
      </c>
      <c r="G28" s="15">
        <f>Statements!I8</f>
        <v>-9.9999999999999978E-2</v>
      </c>
      <c r="H28" s="15">
        <f>Statements!J8</f>
        <v>-5.0000000000000044E-2</v>
      </c>
      <c r="I28" s="15">
        <f>Statements!K8</f>
        <v>6.0000000000000053E-2</v>
      </c>
    </row>
    <row r="29" spans="2:11" ht="15" customHeight="1">
      <c r="B29" s="9" t="s">
        <v>38</v>
      </c>
      <c r="C29" s="15">
        <f>Statements!E11</f>
        <v>0.39790786023864305</v>
      </c>
      <c r="D29" s="15">
        <f>Statements!F11</f>
        <v>0.80224722586248343</v>
      </c>
      <c r="E29" s="15">
        <f>Statements!G11</f>
        <v>0.82</v>
      </c>
      <c r="F29" s="15">
        <f>Statements!H11</f>
        <v>0.77999999999999992</v>
      </c>
      <c r="G29" s="15">
        <f>Statements!I11</f>
        <v>0.68</v>
      </c>
      <c r="H29" s="15">
        <f>Statements!J11</f>
        <v>0.57999999999999996</v>
      </c>
      <c r="I29" s="15">
        <f>Statements!K11</f>
        <v>0.6</v>
      </c>
    </row>
    <row r="30" spans="2:11" ht="15" customHeight="1">
      <c r="B30" s="9" t="s">
        <v>39</v>
      </c>
      <c r="C30" s="15">
        <f>Statements!E16</f>
        <v>0.26138370164267749</v>
      </c>
      <c r="D30" s="15">
        <f>Statements!F16</f>
        <v>0.75007560542498009</v>
      </c>
      <c r="E30" s="15">
        <f>Statements!G16</f>
        <v>0.76770000000000005</v>
      </c>
      <c r="F30" s="15">
        <f>Statements!H16</f>
        <v>0.72770000000000001</v>
      </c>
      <c r="G30" s="15">
        <f>Statements!I16</f>
        <v>0.62360000000000004</v>
      </c>
      <c r="H30" s="15">
        <f>Statements!J16</f>
        <v>0.51449999999999985</v>
      </c>
      <c r="I30" s="15">
        <f>Statements!K16</f>
        <v>0.53749999999999998</v>
      </c>
    </row>
    <row r="31" spans="2:11" ht="15" customHeight="1">
      <c r="B31" s="9" t="s">
        <v>40</v>
      </c>
      <c r="C31" s="16">
        <f>Statements!E18</f>
        <v>18122</v>
      </c>
      <c r="D31" s="16">
        <f>Statements!F18</f>
        <v>106091</v>
      </c>
      <c r="E31" s="16">
        <f>Statements!G18</f>
        <v>129590.35267399999</v>
      </c>
      <c r="F31" s="16">
        <f>Statements!H18</f>
        <v>134672.50914643999</v>
      </c>
      <c r="G31" s="16">
        <f>Statements!I18</f>
        <v>111133.83936932799</v>
      </c>
      <c r="H31" s="16">
        <f>Statements!J18</f>
        <v>93182.551817486979</v>
      </c>
      <c r="I31" s="16">
        <f>Statements!K18</f>
        <v>100408.8294747785</v>
      </c>
    </row>
    <row r="32" spans="2:11" ht="15" customHeight="1">
      <c r="B32" s="20" t="s">
        <v>41</v>
      </c>
      <c r="C32" s="23">
        <f>Statements!E26</f>
        <v>8539</v>
      </c>
      <c r="D32" s="23">
        <f>Statements!F26</f>
        <v>82419.75</v>
      </c>
      <c r="E32" s="23">
        <f>Statements!G26</f>
        <v>100579.74528479041</v>
      </c>
      <c r="F32" s="23">
        <f>Statements!H26</f>
        <v>101042.3763811244</v>
      </c>
      <c r="G32" s="23">
        <f>Statements!I26</f>
        <v>78253.4031405032</v>
      </c>
      <c r="H32" s="23">
        <f>Statements!J26</f>
        <v>61635.256532504143</v>
      </c>
      <c r="I32" s="23">
        <f>Statements!K26</f>
        <v>68104.310192266916</v>
      </c>
    </row>
    <row r="33" spans="2:11" ht="15" customHeight="1">
      <c r="B33" s="9" t="s">
        <v>42</v>
      </c>
      <c r="C33" s="12">
        <f>Statements!E28</f>
        <v>7.5902222222222226</v>
      </c>
      <c r="D33" s="12">
        <f>Statements!F28</f>
        <v>71.669347826086963</v>
      </c>
      <c r="E33" s="12">
        <f>Statements!G28</f>
        <v>93.033583915324726</v>
      </c>
      <c r="F33" s="12">
        <f>Statements!H28</f>
        <v>100.23716173220531</v>
      </c>
      <c r="G33" s="12">
        <f>Statements!I28</f>
        <v>83.18147851372423</v>
      </c>
      <c r="H33" s="12">
        <f>Statements!J28</f>
        <v>69.997301906755993</v>
      </c>
      <c r="I33" s="12">
        <f>Statements!K28</f>
        <v>83.431691626633494</v>
      </c>
    </row>
    <row r="34" spans="2:11" ht="15" customHeight="1">
      <c r="B34" s="20" t="s">
        <v>43</v>
      </c>
      <c r="C34" s="23">
        <f>Statements!E81</f>
        <v>3673</v>
      </c>
      <c r="D34" s="23">
        <f>Statements!F81</f>
        <v>57752.276164383569</v>
      </c>
      <c r="E34" s="23">
        <f>Statements!G81</f>
        <v>65575.568315201352</v>
      </c>
      <c r="F34" s="23">
        <f>Statements!H81</f>
        <v>69677.425615250424</v>
      </c>
      <c r="G34" s="23">
        <f>Statements!I81</f>
        <v>64309.054494211145</v>
      </c>
      <c r="H34" s="23">
        <f>Statements!J81</f>
        <v>57840.197833543003</v>
      </c>
      <c r="I34" s="23">
        <f>Statements!K81</f>
        <v>61732.639314185028</v>
      </c>
    </row>
    <row r="35" spans="2:11" ht="15" customHeight="1">
      <c r="B35" s="9" t="s">
        <v>44</v>
      </c>
      <c r="C35" s="16">
        <f>Statements!E53</f>
        <v>2637</v>
      </c>
      <c r="D35" s="16">
        <f>Statements!F53</f>
        <v>-53688.076164383572</v>
      </c>
      <c r="E35" s="16">
        <f>Statements!G53</f>
        <v>-53688.076164383572</v>
      </c>
      <c r="F35" s="16">
        <f>Statements!H53</f>
        <v>-53688.076164383579</v>
      </c>
      <c r="G35" s="16">
        <f>Statements!I53</f>
        <v>-53688.076164383579</v>
      </c>
      <c r="H35" s="16">
        <f>Statements!J53</f>
        <v>-53688.076164383579</v>
      </c>
      <c r="I35" s="16">
        <f>Statements!K53</f>
        <v>-53688.076164383579</v>
      </c>
    </row>
    <row r="36" spans="2:11" ht="15" customHeight="1">
      <c r="B36" s="9" t="s">
        <v>45</v>
      </c>
      <c r="C36" s="16">
        <f>Statements!E27</f>
        <v>1125</v>
      </c>
      <c r="D36" s="16">
        <f>Statements!F27</f>
        <v>1150</v>
      </c>
      <c r="E36" s="16">
        <f>Statements!G27</f>
        <v>1081.1122290670203</v>
      </c>
      <c r="F36" s="16">
        <f>Statements!H27</f>
        <v>1008.0330950617927</v>
      </c>
      <c r="G36" s="16">
        <f>Statements!I27</f>
        <v>940.75513610391124</v>
      </c>
      <c r="H36" s="16">
        <f>Statements!J27</f>
        <v>880.53760435807942</v>
      </c>
      <c r="I36" s="16">
        <f>Statements!K27</f>
        <v>816.28825766881982</v>
      </c>
    </row>
    <row r="38" spans="2:11" ht="15" customHeight="1">
      <c r="B38" s="59"/>
      <c r="C38" s="59"/>
      <c r="D38" s="59"/>
      <c r="E38" s="59"/>
      <c r="F38" s="59"/>
      <c r="G38" s="59"/>
      <c r="H38" s="59"/>
      <c r="I38" s="59"/>
      <c r="J38" s="59"/>
      <c r="K38" s="59"/>
    </row>
    <row r="39" spans="2:11" ht="15" customHeight="1">
      <c r="B39" s="20"/>
      <c r="C39" s="2"/>
      <c r="D39" s="2"/>
      <c r="E39" s="2"/>
      <c r="F39" s="2"/>
      <c r="G39" s="2"/>
      <c r="H39" s="2"/>
      <c r="I39" s="2"/>
      <c r="J39" s="2"/>
      <c r="K39" s="2"/>
    </row>
    <row r="40" spans="2:11" ht="15" customHeight="1">
      <c r="B40" s="20"/>
      <c r="C40" s="2"/>
      <c r="D40" s="2"/>
      <c r="E40" s="2"/>
      <c r="F40" s="2"/>
      <c r="G40" s="2"/>
      <c r="H40" s="2"/>
      <c r="I40" s="2"/>
      <c r="J40" s="2"/>
      <c r="K40" s="2"/>
    </row>
    <row r="41" spans="2:11" ht="15" customHeight="1">
      <c r="B41" s="20"/>
      <c r="C41" s="2"/>
      <c r="D41" s="2"/>
      <c r="E41" s="2"/>
      <c r="F41" s="2"/>
      <c r="G41" s="2"/>
      <c r="H41" s="2"/>
      <c r="I41" s="2"/>
      <c r="J41" s="2"/>
      <c r="K41" s="2"/>
    </row>
    <row r="42" spans="2:11" ht="15" customHeight="1">
      <c r="B42" s="20"/>
      <c r="C42" s="2"/>
      <c r="D42" s="2"/>
      <c r="E42" s="2"/>
      <c r="F42" s="2"/>
      <c r="G42" s="2"/>
      <c r="H42" s="2"/>
      <c r="I42" s="2"/>
      <c r="J42" s="2"/>
      <c r="K42" s="2"/>
    </row>
    <row r="43" spans="2:11" ht="15" customHeight="1">
      <c r="B43" s="20"/>
      <c r="C43" s="2"/>
      <c r="D43" s="2"/>
      <c r="E43" s="2"/>
      <c r="F43" s="2"/>
      <c r="G43" s="2"/>
      <c r="H43" s="2"/>
      <c r="I43" s="2"/>
      <c r="J43" s="2"/>
      <c r="K43" s="2"/>
    </row>
    <row r="44" spans="2:11" ht="15" customHeight="1">
      <c r="B44" s="20"/>
      <c r="C44" s="2"/>
      <c r="D44" s="2"/>
      <c r="E44" s="2"/>
      <c r="F44" s="2"/>
      <c r="G44" s="2"/>
      <c r="H44" s="2"/>
      <c r="I44" s="2"/>
      <c r="J44" s="2"/>
      <c r="K44" s="2"/>
    </row>
    <row r="45" spans="2:11" ht="15" customHeight="1">
      <c r="B45" s="20"/>
      <c r="C45" s="2"/>
      <c r="D45" s="2"/>
      <c r="E45" s="2"/>
      <c r="F45" s="2"/>
      <c r="G45" s="2"/>
      <c r="H45" s="2"/>
      <c r="I45" s="2"/>
      <c r="J45" s="2"/>
      <c r="K45" s="2"/>
    </row>
    <row r="46" spans="2:11" ht="15" customHeight="1">
      <c r="B46" s="20"/>
      <c r="C46" s="2"/>
      <c r="D46" s="2"/>
      <c r="E46" s="2"/>
      <c r="F46" s="2"/>
      <c r="G46" s="2"/>
      <c r="H46" s="2"/>
      <c r="I46" s="2"/>
      <c r="J46" s="2"/>
      <c r="K46" s="2"/>
    </row>
  </sheetData>
  <mergeCells count="22">
    <mergeCell ref="C45:K45"/>
    <mergeCell ref="C46:K46"/>
    <mergeCell ref="C40:K40"/>
    <mergeCell ref="C41:K41"/>
    <mergeCell ref="C42:K42"/>
    <mergeCell ref="C43:K43"/>
    <mergeCell ref="C44:K44"/>
    <mergeCell ref="G22:K22"/>
    <mergeCell ref="G23:K23"/>
    <mergeCell ref="B25:K25"/>
    <mergeCell ref="B38:K38"/>
    <mergeCell ref="C39:K39"/>
    <mergeCell ref="E12:K14"/>
    <mergeCell ref="E15:K17"/>
    <mergeCell ref="B19:K19"/>
    <mergeCell ref="G20:K20"/>
    <mergeCell ref="G21:K21"/>
    <mergeCell ref="B2:K2"/>
    <mergeCell ref="B5:C5"/>
    <mergeCell ref="E5:K5"/>
    <mergeCell ref="E6:K8"/>
    <mergeCell ref="E9:K1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B2:M68"/>
  <sheetViews>
    <sheetView showGridLines="0" zoomScaleNormal="100" workbookViewId="0">
      <pane xSplit="2" ySplit="5" topLeftCell="C58" activePane="bottomRight" state="frozen"/>
      <selection pane="bottomRight" activeCell="D37" sqref="D37"/>
      <selection pane="bottomLeft" activeCell="A6" sqref="A6"/>
      <selection pane="topRight" activeCell="C1" sqref="C1"/>
    </sheetView>
  </sheetViews>
  <sheetFormatPr defaultColWidth="8.7109375" defaultRowHeight="15"/>
  <cols>
    <col min="2" max="2" width="42" customWidth="1"/>
    <col min="3" max="11" width="14" customWidth="1"/>
    <col min="13" max="13" width="45" customWidth="1"/>
  </cols>
  <sheetData>
    <row r="2" spans="2:13" ht="19.5" customHeight="1">
      <c r="B2" s="7" t="s">
        <v>46</v>
      </c>
      <c r="C2" s="7"/>
      <c r="D2" s="7"/>
      <c r="E2" s="7"/>
      <c r="F2" s="7"/>
      <c r="G2" s="7"/>
      <c r="H2" s="7"/>
      <c r="I2" s="7"/>
      <c r="J2" s="7"/>
      <c r="K2" s="7"/>
      <c r="L2" s="7"/>
      <c r="M2" s="7"/>
    </row>
    <row r="3" spans="2:13" ht="15" customHeight="1">
      <c r="B3" s="8" t="s">
        <v>47</v>
      </c>
      <c r="C3" s="8"/>
      <c r="D3" s="8"/>
      <c r="E3" s="8"/>
      <c r="F3" s="8"/>
      <c r="G3" s="8"/>
      <c r="H3" s="8"/>
      <c r="I3" s="8"/>
      <c r="J3" s="8"/>
      <c r="K3" s="8"/>
      <c r="L3" s="8"/>
      <c r="M3" s="8"/>
    </row>
    <row r="4" spans="2:13" ht="15" customHeight="1">
      <c r="B4" s="9"/>
      <c r="C4" s="9"/>
      <c r="D4" s="9"/>
      <c r="E4" s="9"/>
      <c r="F4" s="9"/>
      <c r="G4" s="9"/>
      <c r="H4" s="9"/>
      <c r="I4" s="9"/>
      <c r="J4" s="9"/>
      <c r="K4" s="9"/>
      <c r="L4" s="9"/>
      <c r="M4" s="9"/>
    </row>
    <row r="5" spans="2:13" ht="15" customHeight="1">
      <c r="B5" s="24" t="s">
        <v>48</v>
      </c>
      <c r="C5" s="25" t="s">
        <v>49</v>
      </c>
      <c r="D5" s="25" t="s">
        <v>50</v>
      </c>
      <c r="E5" s="25" t="s">
        <v>29</v>
      </c>
      <c r="F5" s="25" t="s">
        <v>30</v>
      </c>
      <c r="G5" s="25" t="s">
        <v>31</v>
      </c>
      <c r="H5" s="25" t="s">
        <v>32</v>
      </c>
      <c r="I5" s="25" t="s">
        <v>33</v>
      </c>
      <c r="J5" s="25" t="s">
        <v>34</v>
      </c>
      <c r="K5" s="26" t="s">
        <v>35</v>
      </c>
      <c r="L5" s="9"/>
      <c r="M5" s="9"/>
    </row>
    <row r="6" spans="2:13" ht="15" customHeight="1">
      <c r="B6" s="6" t="s">
        <v>51</v>
      </c>
      <c r="C6" s="6"/>
      <c r="D6" s="6"/>
      <c r="E6" s="6"/>
      <c r="F6" s="6"/>
      <c r="G6" s="6"/>
      <c r="H6" s="6"/>
      <c r="I6" s="6"/>
      <c r="J6" s="6"/>
      <c r="K6" s="6"/>
      <c r="L6" s="9"/>
      <c r="M6" s="9"/>
    </row>
    <row r="7" spans="2:13" ht="15" customHeight="1">
      <c r="B7" s="9" t="s">
        <v>37</v>
      </c>
      <c r="C7" s="15"/>
      <c r="D7" s="15">
        <f>Statements!D8</f>
        <v>0.61589446589446584</v>
      </c>
      <c r="E7" s="15">
        <f>Statements!E8</f>
        <v>0.48851101111066852</v>
      </c>
      <c r="F7" s="15">
        <f>Statements!F8</f>
        <v>2.450131093156402</v>
      </c>
      <c r="G7" s="22">
        <f>CHOOSE($C$62,G63,G64,G65)</f>
        <v>0.18</v>
      </c>
      <c r="H7" s="22">
        <f>CHOOSE($C$62,H63,H64,H65)</f>
        <v>0.06</v>
      </c>
      <c r="I7" s="22">
        <f>CHOOSE($C$62,I63,I64,I65)</f>
        <v>-0.1</v>
      </c>
      <c r="J7" s="22">
        <f>CHOOSE($C$62,J63,J64,J65)</f>
        <v>-0.05</v>
      </c>
      <c r="K7" s="22">
        <f>CHOOSE($C$62,K63,K64,K65)</f>
        <v>0.06</v>
      </c>
      <c r="L7" s="9"/>
      <c r="M7" s="27" t="s">
        <v>52</v>
      </c>
    </row>
    <row r="8" spans="2:13" ht="15" customHeight="1">
      <c r="B8" s="9" t="s">
        <v>38</v>
      </c>
      <c r="C8" s="15">
        <f>Statements!C11</f>
        <v>-9.1119691119691121E-2</v>
      </c>
      <c r="D8" s="15">
        <f>Statements!D11</f>
        <v>0.22352753773246783</v>
      </c>
      <c r="E8" s="15">
        <f>Statements!E11</f>
        <v>0.39790786023864305</v>
      </c>
      <c r="F8" s="15">
        <f>Statements!F11</f>
        <v>0.80224722586248343</v>
      </c>
      <c r="G8" s="22">
        <f>CHOOSE($C$62,G66,G67,G68)</f>
        <v>0.82</v>
      </c>
      <c r="H8" s="22">
        <f>CHOOSE($C$62,H66,H67,H68)</f>
        <v>0.78</v>
      </c>
      <c r="I8" s="22">
        <f>CHOOSE($C$62,I66,I67,I68)</f>
        <v>0.68</v>
      </c>
      <c r="J8" s="22">
        <f>CHOOSE($C$62,J66,J67,J68)</f>
        <v>0.57999999999999996</v>
      </c>
      <c r="K8" s="22">
        <f>CHOOSE($C$62,K66,K67,K68)</f>
        <v>0.6</v>
      </c>
      <c r="L8" s="9"/>
      <c r="M8" s="27" t="s">
        <v>53</v>
      </c>
    </row>
    <row r="9" spans="2:13" ht="15" customHeight="1">
      <c r="B9" s="9" t="s">
        <v>54</v>
      </c>
      <c r="C9" s="15">
        <f>Statements!C12/Statements!C7</f>
        <v>0.20038610038610039</v>
      </c>
      <c r="D9" s="15">
        <f>Statements!D12/Statements!D7</f>
        <v>0.13659352475010952</v>
      </c>
      <c r="E9" s="15">
        <f>Statements!E12/Statements!E7</f>
        <v>0.10161057306436941</v>
      </c>
      <c r="F9" s="15">
        <f>Statements!F12/Statements!F7</f>
        <v>3.9905564248292336E-2</v>
      </c>
      <c r="G9" s="28">
        <v>0.04</v>
      </c>
      <c r="H9" s="28">
        <v>0.04</v>
      </c>
      <c r="I9" s="28">
        <v>4.2999999999999997E-2</v>
      </c>
      <c r="J9" s="28">
        <v>0.05</v>
      </c>
      <c r="K9" s="28">
        <v>4.8000000000000001E-2</v>
      </c>
      <c r="L9" s="9"/>
      <c r="M9" s="27" t="s">
        <v>55</v>
      </c>
    </row>
    <row r="10" spans="2:13" ht="15" customHeight="1">
      <c r="B10" s="9" t="s">
        <v>56</v>
      </c>
      <c r="C10" s="15">
        <f>Statements!C13/Statements!C7</f>
        <v>5.9202059202059204E-2</v>
      </c>
      <c r="D10" s="15">
        <f>Statements!D13/Statements!D7</f>
        <v>4.496037593086695E-2</v>
      </c>
      <c r="E10" s="15">
        <f>Statements!E13/Statements!E7</f>
        <v>3.2238214992776501E-2</v>
      </c>
      <c r="F10" s="15">
        <f>Statements!F13/Statements!F7</f>
        <v>1.1816300840611891E-2</v>
      </c>
      <c r="G10" s="28">
        <v>1.2E-2</v>
      </c>
      <c r="H10" s="28">
        <v>1.2E-2</v>
      </c>
      <c r="I10" s="28">
        <v>1.2999999999999999E-2</v>
      </c>
      <c r="J10" s="28">
        <v>1.4999999999999999E-2</v>
      </c>
      <c r="K10" s="28">
        <v>1.4E-2</v>
      </c>
      <c r="L10" s="9"/>
      <c r="M10" s="27"/>
    </row>
    <row r="11" spans="2:13" ht="15" customHeight="1">
      <c r="B11" s="9" t="s">
        <v>57</v>
      </c>
      <c r="C11" s="15">
        <f>Statements!C14/Statements!C7</f>
        <v>1.8983268983268985E-2</v>
      </c>
      <c r="D11" s="15">
        <f>Statements!D14/Statements!D7</f>
        <v>-9.955796264585242E-3</v>
      </c>
      <c r="E11" s="15">
        <f>Statements!E14/Statements!E7</f>
        <v>2.6753705388196263E-3</v>
      </c>
      <c r="F11" s="15">
        <f>Statements!F14/Statements!F7</f>
        <v>4.497553485991672E-4</v>
      </c>
      <c r="G11" s="28">
        <v>2.9999999999999997E-4</v>
      </c>
      <c r="H11" s="28">
        <v>2.9999999999999997E-4</v>
      </c>
      <c r="I11" s="28">
        <v>4.0000000000000002E-4</v>
      </c>
      <c r="J11" s="28">
        <v>5.0000000000000001E-4</v>
      </c>
      <c r="K11" s="28">
        <v>5.0000000000000001E-4</v>
      </c>
      <c r="L11" s="9"/>
      <c r="M11" s="27"/>
    </row>
    <row r="12" spans="2:13" ht="15" customHeight="1">
      <c r="B12" s="9" t="s">
        <v>58</v>
      </c>
      <c r="C12" s="15">
        <f>IF(Statements!C23&gt;0,Statements!C24/Statements!C23,0)</f>
        <v>0</v>
      </c>
      <c r="D12" s="15">
        <f>IF(Statements!D23&gt;0,Statements!D24/Statements!D23,0)</f>
        <v>0.36370967741935484</v>
      </c>
      <c r="E12" s="15">
        <f>IF(Statements!E23&gt;0,Statements!E24/Statements!E23,0)</f>
        <v>0.1164284234514191</v>
      </c>
      <c r="F12" s="15">
        <f>IF(Statements!F23&gt;0,Statements!F24/Statements!F23,0)</f>
        <v>0.14858505186593379</v>
      </c>
      <c r="G12" s="28">
        <v>0.15</v>
      </c>
      <c r="H12" s="28">
        <v>0.15</v>
      </c>
      <c r="I12" s="28">
        <v>0.15</v>
      </c>
      <c r="J12" s="28">
        <v>0.15</v>
      </c>
      <c r="K12" s="28">
        <v>0.15</v>
      </c>
      <c r="L12" s="9"/>
      <c r="M12" s="27"/>
    </row>
    <row r="13" spans="2:13" ht="15" customHeight="1">
      <c r="B13" s="9" t="s">
        <v>59</v>
      </c>
      <c r="C13" s="15">
        <f>Statements!C20/SUM(Statements!C34:C35)</f>
        <v>4.4499381953028432E-2</v>
      </c>
      <c r="D13" s="15">
        <f>Statements!D20/SUM(Statements!D34:D35)</f>
        <v>5.7732183782603953E-2</v>
      </c>
      <c r="E13" s="15">
        <f>Statements!E20/SUM(Statements!E34:E35)</f>
        <v>4.154103852596315E-2</v>
      </c>
      <c r="F13" s="15">
        <f>Statements!F20/SUM(Statements!E34:E35)</f>
        <v>6.0636515912897822E-2</v>
      </c>
      <c r="G13" s="28">
        <v>3.5000000000000003E-2</v>
      </c>
      <c r="H13" s="28">
        <v>3.5000000000000003E-2</v>
      </c>
      <c r="I13" s="28">
        <v>3.5000000000000003E-2</v>
      </c>
      <c r="J13" s="28">
        <v>3.5000000000000003E-2</v>
      </c>
      <c r="K13" s="28">
        <v>3.5000000000000003E-2</v>
      </c>
      <c r="L13" s="9"/>
      <c r="M13" s="27" t="s">
        <v>60</v>
      </c>
    </row>
    <row r="14" spans="2:13" ht="15" customHeight="1">
      <c r="B14" s="9" t="s">
        <v>61</v>
      </c>
      <c r="C14" s="15">
        <f>Statements!C21/Statements!C45</f>
        <v>2.9107276819204803E-2</v>
      </c>
      <c r="D14" s="15">
        <f>Statements!D21/Statements!D45</f>
        <v>4.1949690229155782E-2</v>
      </c>
      <c r="E14" s="15">
        <f>Statements!E21/Statements!E45</f>
        <v>3.2722782465527886E-2</v>
      </c>
      <c r="F14" s="15">
        <f>Statements!F21/AVERAGE(Statements!E45,Statements!F45)</f>
        <v>1.0443864229765013E-2</v>
      </c>
      <c r="G14" s="28">
        <v>0.05</v>
      </c>
      <c r="H14" s="28">
        <v>0.05</v>
      </c>
      <c r="I14" s="28">
        <v>0.05</v>
      </c>
      <c r="J14" s="28">
        <v>0.05</v>
      </c>
      <c r="K14" s="28">
        <v>0.05</v>
      </c>
      <c r="L14" s="9"/>
      <c r="M14" s="27"/>
    </row>
    <row r="15" spans="2:13" ht="15" customHeight="1">
      <c r="B15" s="9" t="s">
        <v>62</v>
      </c>
      <c r="C15" s="15">
        <f>Statements!C22/Statements!C7</f>
        <v>4.5045045045045046E-4</v>
      </c>
      <c r="D15" s="15">
        <f>Statements!D22/Statements!D7</f>
        <v>-1.2345187368085699E-3</v>
      </c>
      <c r="E15" s="15">
        <f>Statements!E22/Statements!E7</f>
        <v>-3.6117502274064959E-3</v>
      </c>
      <c r="F15" s="15">
        <f>Statements!F22/Statements!F7</f>
        <v>-4.3347110321885251E-3</v>
      </c>
      <c r="G15" s="28">
        <v>-2E-3</v>
      </c>
      <c r="H15" s="28">
        <v>-2E-3</v>
      </c>
      <c r="I15" s="28">
        <v>-2E-3</v>
      </c>
      <c r="J15" s="28">
        <v>-2E-3</v>
      </c>
      <c r="K15" s="28">
        <v>-2E-3</v>
      </c>
      <c r="L15" s="9"/>
      <c r="M15" s="27"/>
    </row>
    <row r="16" spans="2:13" ht="15" customHeight="1">
      <c r="B16" s="9"/>
      <c r="C16" s="29"/>
      <c r="D16" s="29"/>
      <c r="E16" s="29"/>
      <c r="F16" s="9"/>
      <c r="G16" s="9"/>
      <c r="H16" s="9"/>
      <c r="I16" s="9"/>
      <c r="J16" s="9"/>
      <c r="K16" s="9"/>
      <c r="L16" s="9"/>
      <c r="M16" s="27"/>
    </row>
    <row r="17" spans="2:13" ht="15" customHeight="1">
      <c r="B17" s="6" t="s">
        <v>63</v>
      </c>
      <c r="C17" s="6"/>
      <c r="D17" s="6"/>
      <c r="E17" s="6"/>
      <c r="F17" s="6"/>
      <c r="G17" s="6"/>
      <c r="H17" s="6"/>
      <c r="I17" s="6"/>
      <c r="J17" s="6"/>
      <c r="K17" s="6"/>
      <c r="L17" s="9"/>
      <c r="M17" s="27"/>
    </row>
    <row r="18" spans="2:13" ht="15" customHeight="1">
      <c r="B18" s="9" t="s">
        <v>64</v>
      </c>
      <c r="C18" s="30">
        <f>Statements!C36/Statements!C7*365</f>
        <v>57.380630630630634</v>
      </c>
      <c r="D18" s="30">
        <f>Statements!D36/Statements!D7*365</f>
        <v>96.152084743737802</v>
      </c>
      <c r="E18" s="30">
        <f>Statements!E36/Statements!E7*365</f>
        <v>90.473674353898005</v>
      </c>
      <c r="F18" s="31">
        <v>80</v>
      </c>
      <c r="G18" s="31">
        <v>70</v>
      </c>
      <c r="H18" s="31">
        <v>65</v>
      </c>
      <c r="I18" s="31">
        <v>60</v>
      </c>
      <c r="J18" s="31">
        <v>55</v>
      </c>
      <c r="K18" s="31">
        <v>55</v>
      </c>
      <c r="L18" s="9"/>
      <c r="M18" s="27" t="s">
        <v>65</v>
      </c>
    </row>
    <row r="19" spans="2:13" ht="15" customHeight="1">
      <c r="B19" s="9" t="s">
        <v>66</v>
      </c>
      <c r="C19" s="30">
        <f>Statements!C37/Statements!C9*365</f>
        <v>180.5411063930172</v>
      </c>
      <c r="D19" s="30">
        <f>Statements!D37/Statements!D9*365</f>
        <v>166.13883475228226</v>
      </c>
      <c r="E19" s="30">
        <f>Statements!E37/Statements!E9*365</f>
        <v>135.5065540990891</v>
      </c>
      <c r="F19" s="31">
        <v>122</v>
      </c>
      <c r="G19" s="31">
        <v>115</v>
      </c>
      <c r="H19" s="31">
        <v>110</v>
      </c>
      <c r="I19" s="31">
        <v>105</v>
      </c>
      <c r="J19" s="31">
        <v>105</v>
      </c>
      <c r="K19" s="31">
        <v>105</v>
      </c>
      <c r="L19" s="9"/>
      <c r="M19" s="27" t="s">
        <v>65</v>
      </c>
    </row>
    <row r="20" spans="2:13" ht="15" customHeight="1">
      <c r="B20" s="9" t="s">
        <v>67</v>
      </c>
      <c r="C20" s="30">
        <f>Statements!C44/Statements!C9*365</f>
        <v>85.201108752064172</v>
      </c>
      <c r="D20" s="30">
        <f>Statements!D44/Statements!D9*365</f>
        <v>136.63632167401784</v>
      </c>
      <c r="E20" s="30">
        <f>Statements!E44/Statements!E9*365</f>
        <v>156.4934459009109</v>
      </c>
      <c r="F20" s="31">
        <v>200</v>
      </c>
      <c r="G20" s="31">
        <v>180</v>
      </c>
      <c r="H20" s="31">
        <v>165</v>
      </c>
      <c r="I20" s="31">
        <v>150</v>
      </c>
      <c r="J20" s="31">
        <v>145</v>
      </c>
      <c r="K20" s="31">
        <v>145</v>
      </c>
      <c r="L20" s="9"/>
      <c r="M20" s="27" t="s">
        <v>65</v>
      </c>
    </row>
    <row r="21" spans="2:13" ht="15" customHeight="1">
      <c r="B21" s="9" t="s">
        <v>68</v>
      </c>
      <c r="C21" s="15">
        <f>Statements!C38/Statements!C7</f>
        <v>5.276705276705277E-2</v>
      </c>
      <c r="D21" s="15">
        <f>Statements!D38/Statements!D7</f>
        <v>3.0902791605272591E-2</v>
      </c>
      <c r="E21" s="15">
        <f>Statements!E38/Statements!E7</f>
        <v>2.4452886724811388E-2</v>
      </c>
      <c r="F21" s="28">
        <v>0.01</v>
      </c>
      <c r="G21" s="28">
        <v>0.01</v>
      </c>
      <c r="H21" s="28">
        <v>0.01</v>
      </c>
      <c r="I21" s="28">
        <v>0.01</v>
      </c>
      <c r="J21" s="28">
        <v>0.01</v>
      </c>
      <c r="K21" s="28">
        <v>0.01</v>
      </c>
      <c r="L21" s="9"/>
      <c r="M21" s="27"/>
    </row>
    <row r="22" spans="2:13" ht="15" customHeight="1">
      <c r="B22" s="9" t="s">
        <v>69</v>
      </c>
      <c r="C22" s="15">
        <f>Statements!C46/Statements!C7</f>
        <v>3.4041184041184044E-2</v>
      </c>
      <c r="D22" s="15">
        <f>Statements!D46/Statements!D7</f>
        <v>6.0451594918561585E-2</v>
      </c>
      <c r="E22" s="15">
        <f>Statements!E46/Statements!E7</f>
        <v>3.3308363208304353E-2</v>
      </c>
      <c r="F22" s="28">
        <v>2.5999999999999999E-2</v>
      </c>
      <c r="G22" s="28">
        <v>2.5000000000000001E-2</v>
      </c>
      <c r="H22" s="28">
        <v>2.5000000000000001E-2</v>
      </c>
      <c r="I22" s="28">
        <v>2.5000000000000001E-2</v>
      </c>
      <c r="J22" s="28">
        <v>2.5000000000000001E-2</v>
      </c>
      <c r="K22" s="28">
        <v>2.5000000000000001E-2</v>
      </c>
      <c r="L22" s="9"/>
      <c r="M22" s="27"/>
    </row>
    <row r="23" spans="2:13" ht="15" customHeight="1">
      <c r="B23" s="9" t="s">
        <v>70</v>
      </c>
      <c r="C23" s="15">
        <f>Statements!C35/Statements!C7</f>
        <v>0.11975546975546976</v>
      </c>
      <c r="D23" s="15">
        <f>Statements!D35/Statements!D7</f>
        <v>8.4066743658157778E-2</v>
      </c>
      <c r="E23" s="15">
        <f>Statements!E35/Statements!E7</f>
        <v>6.1373000160522231E-2</v>
      </c>
      <c r="F23" s="28">
        <v>0.04</v>
      </c>
      <c r="G23" s="28">
        <v>0.04</v>
      </c>
      <c r="H23" s="28">
        <v>0.04</v>
      </c>
      <c r="I23" s="28">
        <v>0.04</v>
      </c>
      <c r="J23" s="28">
        <v>0.04</v>
      </c>
      <c r="K23" s="28">
        <v>0.04</v>
      </c>
      <c r="L23" s="9"/>
      <c r="M23" s="27"/>
    </row>
    <row r="24" spans="2:13" ht="15" customHeight="1">
      <c r="B24" s="9" t="s">
        <v>71</v>
      </c>
      <c r="C24" s="15">
        <f>Statements!C40/Statements!C7</f>
        <v>0.26763191763191763</v>
      </c>
      <c r="D24" s="15">
        <f>Statements!D40/Statements!D7</f>
        <v>0.16877065827724902</v>
      </c>
      <c r="E24" s="15">
        <f>Statements!E40/Statements!E7</f>
        <v>0.15340574669591739</v>
      </c>
      <c r="F24" s="28">
        <v>5.3999999999999999E-2</v>
      </c>
      <c r="G24" s="28">
        <v>0.05</v>
      </c>
      <c r="H24" s="28">
        <v>0.05</v>
      </c>
      <c r="I24" s="28">
        <v>0.05</v>
      </c>
      <c r="J24" s="28">
        <v>0.05</v>
      </c>
      <c r="K24" s="28">
        <v>0.05</v>
      </c>
      <c r="L24" s="9"/>
      <c r="M24" s="27"/>
    </row>
    <row r="25" spans="2:13" ht="15" customHeight="1">
      <c r="B25" s="9" t="s">
        <v>72</v>
      </c>
      <c r="C25" s="15">
        <f>Statements!C47/Statements!C7</f>
        <v>0.1490990990990991</v>
      </c>
      <c r="D25" s="15">
        <f>Statements!D47/Statements!D7</f>
        <v>8.2473816255824145E-2</v>
      </c>
      <c r="E25" s="15">
        <f>Statements!E47/Statements!E7</f>
        <v>8.4595216437476584E-2</v>
      </c>
      <c r="F25" s="28">
        <v>6.8000000000000005E-2</v>
      </c>
      <c r="G25" s="28">
        <v>4.4999999999999998E-2</v>
      </c>
      <c r="H25" s="28">
        <v>0.04</v>
      </c>
      <c r="I25" s="28">
        <v>3.5000000000000003E-2</v>
      </c>
      <c r="J25" s="28">
        <v>0.03</v>
      </c>
      <c r="K25" s="28">
        <v>0.03</v>
      </c>
      <c r="L25" s="9"/>
      <c r="M25" s="27"/>
    </row>
    <row r="26" spans="2:13" ht="15" customHeight="1">
      <c r="B26" s="9" t="s">
        <v>73</v>
      </c>
      <c r="C26" s="15"/>
      <c r="D26" s="15">
        <f>Statements!D17/Statements!C39</f>
        <v>0.20512550094916684</v>
      </c>
      <c r="E26" s="15">
        <f>Statements!E17/Statements!D39</f>
        <v>0.21011849354700748</v>
      </c>
      <c r="F26" s="15">
        <f>Statements!F17/Statements!E39</f>
        <v>0.20094440867138871</v>
      </c>
      <c r="G26" s="28">
        <v>0.2</v>
      </c>
      <c r="H26" s="28">
        <v>0.18</v>
      </c>
      <c r="I26" s="28">
        <v>0.16</v>
      </c>
      <c r="J26" s="28">
        <v>0.15</v>
      </c>
      <c r="K26" s="28">
        <v>0.14000000000000001</v>
      </c>
      <c r="L26" s="9"/>
      <c r="M26" s="27" t="s">
        <v>74</v>
      </c>
    </row>
    <row r="27" spans="2:13" ht="15" customHeight="1">
      <c r="B27" s="9" t="s">
        <v>75</v>
      </c>
      <c r="C27" s="16">
        <f>-Statements!C67</f>
        <v>7676</v>
      </c>
      <c r="D27" s="16">
        <f>-Statements!D67</f>
        <v>8386</v>
      </c>
      <c r="E27" s="16">
        <f>-Statements!E67</f>
        <v>15857</v>
      </c>
      <c r="F27" s="16">
        <f>'FY26 Bridge'!E28</f>
        <v>29602</v>
      </c>
      <c r="G27" s="32">
        <v>45000</v>
      </c>
      <c r="H27" s="32">
        <v>50000</v>
      </c>
      <c r="I27" s="32">
        <v>40000</v>
      </c>
      <c r="J27" s="32">
        <v>30000</v>
      </c>
      <c r="K27" s="32">
        <v>28000</v>
      </c>
      <c r="L27" s="9"/>
      <c r="M27" s="27" t="s">
        <v>76</v>
      </c>
    </row>
    <row r="28" spans="2:13" ht="15" customHeight="1">
      <c r="B28" s="9" t="s">
        <v>77</v>
      </c>
      <c r="C28" s="16">
        <f>Statements!C45</f>
        <v>13330</v>
      </c>
      <c r="D28" s="16">
        <f>Statements!D45</f>
        <v>13397</v>
      </c>
      <c r="E28" s="16">
        <f>Statements!E45</f>
        <v>14577</v>
      </c>
      <c r="F28" s="32">
        <v>5722</v>
      </c>
      <c r="G28" s="32">
        <v>5000</v>
      </c>
      <c r="H28" s="32">
        <v>4500</v>
      </c>
      <c r="I28" s="32">
        <v>4000</v>
      </c>
      <c r="J28" s="32">
        <v>3500</v>
      </c>
      <c r="K28" s="32">
        <v>3000</v>
      </c>
      <c r="L28" s="9"/>
      <c r="M28" s="27" t="s">
        <v>78</v>
      </c>
    </row>
    <row r="29" spans="2:13" ht="15" customHeight="1">
      <c r="B29" s="9" t="s">
        <v>79</v>
      </c>
      <c r="C29" s="15">
        <f>Statements!C64/Statements!C7</f>
        <v>3.835263835263835E-2</v>
      </c>
      <c r="D29" s="15">
        <f>Statements!D64/Statements!D7</f>
        <v>3.3172713153598023E-2</v>
      </c>
      <c r="E29" s="15">
        <f>Statements!E64/Statements!E7</f>
        <v>2.600460163732677E-2</v>
      </c>
      <c r="F29" s="15">
        <f>Statements!F64/Statements!F7</f>
        <v>1.0220302576787972E-2</v>
      </c>
      <c r="G29" s="28">
        <v>7.0000000000000001E-3</v>
      </c>
      <c r="H29" s="28">
        <v>7.0000000000000001E-3</v>
      </c>
      <c r="I29" s="28">
        <v>7.0000000000000001E-3</v>
      </c>
      <c r="J29" s="28">
        <v>7.0000000000000001E-3</v>
      </c>
      <c r="K29" s="28">
        <v>7.0000000000000001E-3</v>
      </c>
      <c r="L29" s="9"/>
      <c r="M29" s="27"/>
    </row>
    <row r="30" spans="2:13" ht="15" customHeight="1">
      <c r="B30" s="9" t="s">
        <v>80</v>
      </c>
      <c r="C30" s="16">
        <f>Statements!C68</f>
        <v>710</v>
      </c>
      <c r="D30" s="16">
        <f>Statements!D68</f>
        <v>315</v>
      </c>
      <c r="E30" s="16">
        <f>Statements!E68</f>
        <v>2005</v>
      </c>
      <c r="F30" s="16">
        <f>'FY26 Bridge'!E29</f>
        <v>2989</v>
      </c>
      <c r="G30" s="32">
        <v>0</v>
      </c>
      <c r="H30" s="32">
        <v>0</v>
      </c>
      <c r="I30" s="32">
        <v>0</v>
      </c>
      <c r="J30" s="32">
        <v>0</v>
      </c>
      <c r="K30" s="32">
        <v>0</v>
      </c>
      <c r="L30" s="9"/>
      <c r="M30" s="27" t="s">
        <v>81</v>
      </c>
    </row>
    <row r="31" spans="2:13" ht="15" customHeight="1">
      <c r="B31" s="9" t="s">
        <v>82</v>
      </c>
      <c r="C31" s="16">
        <f>-Statements!C72</f>
        <v>504</v>
      </c>
      <c r="D31" s="16">
        <f>-Statements!D72</f>
        <v>513</v>
      </c>
      <c r="E31" s="16">
        <f>-Statements!E72</f>
        <v>522</v>
      </c>
      <c r="F31" s="16">
        <f>'FY26 Bridge'!E31</f>
        <v>606.20000000000005</v>
      </c>
      <c r="G31" s="32">
        <v>856</v>
      </c>
      <c r="H31" s="32">
        <v>1021</v>
      </c>
      <c r="I31" s="32">
        <v>1126</v>
      </c>
      <c r="J31" s="32">
        <v>1232</v>
      </c>
      <c r="K31" s="32">
        <v>1341</v>
      </c>
      <c r="L31" s="9"/>
      <c r="M31" s="27"/>
    </row>
    <row r="32" spans="2:13" ht="15" customHeight="1">
      <c r="B32" s="9" t="s">
        <v>83</v>
      </c>
      <c r="C32" s="16">
        <f>-Statements!C73</f>
        <v>425</v>
      </c>
      <c r="D32" s="16">
        <f>-Statements!D73</f>
        <v>300</v>
      </c>
      <c r="E32" s="16">
        <f>-Statements!E73</f>
        <v>0</v>
      </c>
      <c r="F32" s="16">
        <f>'FY26 Bridge'!E32</f>
        <v>650</v>
      </c>
      <c r="G32" s="33">
        <f>MAX(0,G55*Statements!G81-G31)</f>
        <v>64719.568315201352</v>
      </c>
      <c r="H32" s="33">
        <f>MAX(0,H55*Statements!H81-H31)</f>
        <v>68656.425615250424</v>
      </c>
      <c r="I32" s="33">
        <f>MAX(0,I55*Statements!I81-I31)</f>
        <v>63183.054494211145</v>
      </c>
      <c r="J32" s="33">
        <f>MAX(0,J55*Statements!J81-J31)</f>
        <v>56608.197833543003</v>
      </c>
      <c r="K32" s="33">
        <f>MAX(0,K55*Statements!K81-K31)</f>
        <v>60391.639314185028</v>
      </c>
      <c r="L32" s="9"/>
      <c r="M32" s="27" t="s">
        <v>84</v>
      </c>
    </row>
    <row r="33" spans="2:13" ht="15" customHeight="1">
      <c r="B33" s="9" t="s">
        <v>45</v>
      </c>
      <c r="C33" s="16">
        <f>Statements!C27</f>
        <v>1093</v>
      </c>
      <c r="D33" s="16">
        <f>Statements!D27</f>
        <v>1118</v>
      </c>
      <c r="E33" s="16">
        <f>Statements!E27</f>
        <v>1125</v>
      </c>
      <c r="F33" s="32">
        <v>1150</v>
      </c>
      <c r="G33" s="33">
        <f>F33-G32/G56+Statements!G64/G56</f>
        <v>1081.1122290670203</v>
      </c>
      <c r="H33" s="33">
        <f>G33-H32/H56+Statements!H64/H56</f>
        <v>1008.0330950617927</v>
      </c>
      <c r="I33" s="33">
        <f>H33-I32/I56+Statements!I64/I56</f>
        <v>940.75513610391124</v>
      </c>
      <c r="J33" s="33">
        <f>I33-J32/J56+Statements!J64/J56</f>
        <v>880.53760435807942</v>
      </c>
      <c r="K33" s="33">
        <f>J33-K32/K56+Statements!K64/K56</f>
        <v>816.28825766881982</v>
      </c>
      <c r="L33" s="9"/>
      <c r="M33" s="27" t="s">
        <v>85</v>
      </c>
    </row>
    <row r="34" spans="2:13" ht="15" customHeight="1">
      <c r="B34" s="9"/>
      <c r="C34" s="9"/>
      <c r="D34" s="9"/>
      <c r="E34" s="9"/>
      <c r="F34" s="9"/>
      <c r="G34" s="9"/>
      <c r="H34" s="9"/>
      <c r="I34" s="9"/>
      <c r="J34" s="9"/>
      <c r="K34" s="9"/>
      <c r="L34" s="9"/>
      <c r="M34" s="9"/>
    </row>
    <row r="35" spans="2:13" ht="15" customHeight="1">
      <c r="B35" s="6" t="s">
        <v>86</v>
      </c>
      <c r="C35" s="6"/>
      <c r="D35" s="6"/>
      <c r="E35" s="9"/>
      <c r="F35" s="9"/>
      <c r="G35" s="9"/>
      <c r="H35" s="9"/>
      <c r="I35" s="9"/>
      <c r="J35" s="9"/>
      <c r="K35" s="9"/>
      <c r="L35" s="9"/>
      <c r="M35" s="9"/>
    </row>
    <row r="36" spans="2:13" ht="15" customHeight="1">
      <c r="B36" s="9" t="s">
        <v>3</v>
      </c>
      <c r="C36" s="34">
        <v>46279</v>
      </c>
      <c r="D36" s="1" t="s">
        <v>87</v>
      </c>
      <c r="E36" s="1"/>
      <c r="F36" s="1"/>
      <c r="G36" s="1"/>
      <c r="H36" s="1"/>
      <c r="I36" s="1"/>
      <c r="J36" s="1"/>
      <c r="K36" s="1"/>
      <c r="L36" s="9"/>
      <c r="M36" s="9"/>
    </row>
    <row r="37" spans="2:13" ht="15" customHeight="1">
      <c r="B37" s="9" t="s">
        <v>4</v>
      </c>
      <c r="C37" s="21">
        <v>924.03</v>
      </c>
      <c r="D37" s="1" t="s">
        <v>88</v>
      </c>
      <c r="E37" s="1"/>
      <c r="F37" s="1"/>
      <c r="G37" s="1"/>
      <c r="H37" s="1"/>
      <c r="I37" s="1"/>
      <c r="J37" s="1"/>
      <c r="K37" s="1"/>
      <c r="L37" s="9"/>
      <c r="M37" s="9"/>
    </row>
    <row r="38" spans="2:13" ht="15" customHeight="1">
      <c r="B38" s="9" t="s">
        <v>89</v>
      </c>
      <c r="C38" s="35">
        <v>4.99E-2</v>
      </c>
      <c r="D38" s="1" t="s">
        <v>90</v>
      </c>
      <c r="E38" s="1"/>
      <c r="F38" s="1"/>
      <c r="G38" s="1"/>
      <c r="H38" s="1"/>
      <c r="I38" s="1"/>
      <c r="J38" s="1"/>
      <c r="K38" s="1"/>
      <c r="L38" s="9"/>
      <c r="M38" s="9"/>
    </row>
    <row r="39" spans="2:13" ht="15" customHeight="1">
      <c r="B39" s="9" t="s">
        <v>91</v>
      </c>
      <c r="C39" s="36">
        <f>CHOOSE(C48,C51,C52)</f>
        <v>1.5068655309045584</v>
      </c>
      <c r="D39" s="1" t="s">
        <v>92</v>
      </c>
      <c r="E39" s="1"/>
      <c r="F39" s="1"/>
      <c r="G39" s="1"/>
      <c r="H39" s="1"/>
      <c r="I39" s="1"/>
      <c r="J39" s="1"/>
      <c r="K39" s="1"/>
      <c r="L39" s="9"/>
      <c r="M39" s="9"/>
    </row>
    <row r="40" spans="2:13" ht="15" customHeight="1">
      <c r="B40" s="9" t="s">
        <v>93</v>
      </c>
      <c r="C40" s="35">
        <v>4.2299999999999997E-2</v>
      </c>
      <c r="D40" s="1" t="s">
        <v>94</v>
      </c>
      <c r="E40" s="1"/>
      <c r="F40" s="1"/>
      <c r="G40" s="1"/>
      <c r="H40" s="1"/>
      <c r="I40" s="1"/>
      <c r="J40" s="1"/>
      <c r="K40" s="1"/>
      <c r="L40" s="9"/>
      <c r="M40" s="9"/>
    </row>
    <row r="41" spans="2:13" ht="15" customHeight="1">
      <c r="B41" s="9" t="s">
        <v>95</v>
      </c>
      <c r="C41" s="28">
        <v>0.05</v>
      </c>
      <c r="D41" s="1" t="s">
        <v>96</v>
      </c>
      <c r="E41" s="1"/>
      <c r="F41" s="1"/>
      <c r="G41" s="1"/>
      <c r="H41" s="1"/>
      <c r="I41" s="1"/>
      <c r="J41" s="1"/>
      <c r="K41" s="1"/>
      <c r="L41" s="9"/>
      <c r="M41" s="9"/>
    </row>
    <row r="42" spans="2:13" ht="15" customHeight="1">
      <c r="B42" s="9" t="s">
        <v>97</v>
      </c>
      <c r="C42" s="28">
        <v>0.15</v>
      </c>
      <c r="D42" s="1" t="s">
        <v>98</v>
      </c>
      <c r="E42" s="1"/>
      <c r="F42" s="1"/>
      <c r="G42" s="1"/>
      <c r="H42" s="1"/>
      <c r="I42" s="1"/>
      <c r="J42" s="1"/>
      <c r="K42" s="1"/>
      <c r="L42" s="9"/>
      <c r="M42" s="9"/>
    </row>
    <row r="43" spans="2:13" ht="15" customHeight="1">
      <c r="B43" s="9" t="s">
        <v>11</v>
      </c>
      <c r="C43" s="28">
        <v>0.03</v>
      </c>
      <c r="D43" s="1" t="s">
        <v>99</v>
      </c>
      <c r="E43" s="1"/>
      <c r="F43" s="1"/>
      <c r="G43" s="1"/>
      <c r="H43" s="1"/>
      <c r="I43" s="1"/>
      <c r="J43" s="1"/>
      <c r="K43" s="1"/>
      <c r="L43" s="9"/>
      <c r="M43" s="9"/>
    </row>
    <row r="44" spans="2:13" ht="15" customHeight="1">
      <c r="B44" s="9" t="s">
        <v>44</v>
      </c>
      <c r="C44" s="16">
        <f>Statements!F53</f>
        <v>-53688.076164383572</v>
      </c>
      <c r="D44" s="1" t="s">
        <v>100</v>
      </c>
      <c r="E44" s="1"/>
      <c r="F44" s="1"/>
      <c r="G44" s="1"/>
      <c r="H44" s="1"/>
      <c r="I44" s="1"/>
      <c r="J44" s="1"/>
      <c r="K44" s="1"/>
      <c r="L44" s="9"/>
      <c r="M44" s="9"/>
    </row>
    <row r="45" spans="2:13" ht="15" customHeight="1">
      <c r="B45" s="9" t="s">
        <v>101</v>
      </c>
      <c r="C45" s="33">
        <f>F33</f>
        <v>1150</v>
      </c>
      <c r="D45" s="1" t="s">
        <v>102</v>
      </c>
      <c r="E45" s="1"/>
      <c r="F45" s="1"/>
      <c r="G45" s="1"/>
      <c r="H45" s="1"/>
      <c r="I45" s="1"/>
      <c r="J45" s="1"/>
      <c r="K45" s="1"/>
      <c r="L45" s="9"/>
      <c r="M45" s="9"/>
    </row>
    <row r="46" spans="2:13" ht="15" customHeight="1">
      <c r="B46" s="9"/>
      <c r="C46" s="9"/>
      <c r="D46" s="9"/>
      <c r="E46" s="9"/>
      <c r="F46" s="9"/>
      <c r="G46" s="9"/>
      <c r="H46" s="9"/>
      <c r="I46" s="9"/>
      <c r="J46" s="9"/>
      <c r="K46" s="9"/>
      <c r="L46" s="9"/>
      <c r="M46" s="9"/>
    </row>
    <row r="47" spans="2:13" ht="15" customHeight="1">
      <c r="B47" s="6" t="s">
        <v>103</v>
      </c>
      <c r="C47" s="6"/>
      <c r="D47" s="6"/>
      <c r="E47" s="6"/>
      <c r="F47" s="6"/>
      <c r="G47" s="6"/>
      <c r="H47" s="6"/>
      <c r="I47" s="6"/>
      <c r="J47" s="6"/>
      <c r="K47" s="6"/>
      <c r="L47" s="9"/>
      <c r="M47" s="9"/>
    </row>
    <row r="48" spans="2:13" ht="15" customHeight="1">
      <c r="B48" s="9" t="s">
        <v>104</v>
      </c>
      <c r="C48" s="31">
        <v>1</v>
      </c>
      <c r="D48" s="1" t="str">
        <f>"Active: "&amp;CHOOSE(C48,"industry bottom-up beta","regression beta")</f>
        <v>Active: industry bottom-up beta</v>
      </c>
      <c r="E48" s="1"/>
      <c r="F48" s="1"/>
      <c r="G48" s="1"/>
      <c r="H48" s="1"/>
      <c r="I48" s="1"/>
      <c r="J48" s="1"/>
      <c r="K48" s="1"/>
      <c r="L48" s="9"/>
      <c r="M48" s="9"/>
    </row>
    <row r="49" spans="2:13" ht="15" customHeight="1">
      <c r="B49" s="9" t="s">
        <v>105</v>
      </c>
      <c r="C49" s="37">
        <v>1.5</v>
      </c>
      <c r="D49" s="1" t="s">
        <v>106</v>
      </c>
      <c r="E49" s="1"/>
      <c r="F49" s="1"/>
      <c r="G49" s="1"/>
      <c r="H49" s="1"/>
      <c r="I49" s="1"/>
      <c r="J49" s="1"/>
      <c r="K49" s="1"/>
    </row>
    <row r="50" spans="2:13" ht="15" customHeight="1">
      <c r="B50" s="9" t="s">
        <v>107</v>
      </c>
      <c r="C50" s="22">
        <f>Statements!F45/(C37*C45)</f>
        <v>5.3847301212223021E-3</v>
      </c>
      <c r="D50" s="1" t="s">
        <v>108</v>
      </c>
      <c r="E50" s="1"/>
      <c r="F50" s="1"/>
      <c r="G50" s="1"/>
      <c r="H50" s="1"/>
      <c r="I50" s="1"/>
      <c r="J50" s="1"/>
      <c r="K50" s="1"/>
    </row>
    <row r="51" spans="2:13" ht="15" customHeight="1">
      <c r="B51" s="9" t="s">
        <v>109</v>
      </c>
      <c r="C51" s="36">
        <f>C49*(1+(1-C42)*C50)</f>
        <v>1.5068655309045584</v>
      </c>
      <c r="D51" s="1" t="s">
        <v>110</v>
      </c>
      <c r="E51" s="1"/>
      <c r="F51" s="1"/>
      <c r="G51" s="1"/>
      <c r="H51" s="1"/>
      <c r="I51" s="1"/>
      <c r="J51" s="1"/>
      <c r="K51" s="1"/>
    </row>
    <row r="52" spans="2:13" ht="15" customHeight="1">
      <c r="B52" s="9" t="s">
        <v>111</v>
      </c>
      <c r="C52" s="37">
        <v>2.2200000000000002</v>
      </c>
      <c r="D52" s="1" t="s">
        <v>112</v>
      </c>
      <c r="E52" s="1"/>
      <c r="F52" s="1"/>
      <c r="G52" s="1"/>
      <c r="H52" s="1"/>
      <c r="I52" s="1"/>
      <c r="J52" s="1"/>
      <c r="K52" s="1"/>
    </row>
    <row r="54" spans="2:13" ht="15" customHeight="1">
      <c r="B54" s="6" t="s">
        <v>113</v>
      </c>
      <c r="C54" s="6"/>
      <c r="D54" s="6"/>
      <c r="E54" s="6"/>
      <c r="F54" s="6"/>
      <c r="G54" s="6"/>
      <c r="H54" s="6"/>
      <c r="I54" s="6"/>
      <c r="J54" s="6"/>
      <c r="K54" s="6"/>
    </row>
    <row r="55" spans="2:13" ht="15" customHeight="1">
      <c r="B55" s="9" t="s">
        <v>114</v>
      </c>
      <c r="G55" s="28">
        <v>1</v>
      </c>
      <c r="H55" s="28">
        <v>1</v>
      </c>
      <c r="I55" s="28">
        <v>1</v>
      </c>
      <c r="J55" s="28">
        <v>1</v>
      </c>
      <c r="K55" s="28">
        <v>1</v>
      </c>
      <c r="M55" s="27" t="s">
        <v>115</v>
      </c>
    </row>
    <row r="56" spans="2:13" ht="15" customHeight="1">
      <c r="B56" s="9" t="s">
        <v>116</v>
      </c>
      <c r="G56" s="38">
        <f>$C$37</f>
        <v>924.03</v>
      </c>
      <c r="H56" s="38">
        <f>$C$37</f>
        <v>924.03</v>
      </c>
      <c r="I56" s="38">
        <f>$C$37</f>
        <v>924.03</v>
      </c>
      <c r="J56" s="38">
        <f>$C$37</f>
        <v>924.03</v>
      </c>
      <c r="K56" s="38">
        <f>$C$37</f>
        <v>924.03</v>
      </c>
      <c r="M56" s="27" t="s">
        <v>117</v>
      </c>
    </row>
    <row r="57" spans="2:13" ht="15" customHeight="1">
      <c r="B57" s="9" t="s">
        <v>118</v>
      </c>
      <c r="F57" s="16">
        <f>'FY26 Bridge'!E23</f>
        <v>13</v>
      </c>
      <c r="G57" s="32">
        <v>0</v>
      </c>
      <c r="H57" s="32">
        <v>0</v>
      </c>
      <c r="I57" s="32">
        <v>0</v>
      </c>
      <c r="J57" s="32">
        <v>0</v>
      </c>
      <c r="K57" s="32">
        <v>0</v>
      </c>
    </row>
    <row r="58" spans="2:13" ht="15" customHeight="1">
      <c r="B58" s="9" t="s">
        <v>119</v>
      </c>
      <c r="F58" s="16">
        <f>'FY26 Bridge'!E33</f>
        <v>-179</v>
      </c>
      <c r="G58" s="32">
        <v>0</v>
      </c>
      <c r="H58" s="32">
        <v>0</v>
      </c>
      <c r="I58" s="32">
        <v>0</v>
      </c>
      <c r="J58" s="32">
        <v>0</v>
      </c>
      <c r="K58" s="32">
        <v>0</v>
      </c>
      <c r="M58" s="27" t="s">
        <v>120</v>
      </c>
    </row>
    <row r="59" spans="2:13" ht="15" customHeight="1">
      <c r="B59" s="9" t="s">
        <v>121</v>
      </c>
      <c r="F59" s="16">
        <f>'FY26 Bridge'!E34</f>
        <v>8</v>
      </c>
      <c r="G59" s="32">
        <v>0</v>
      </c>
      <c r="H59" s="32">
        <v>0</v>
      </c>
      <c r="I59" s="32">
        <v>0</v>
      </c>
      <c r="J59" s="32">
        <v>0</v>
      </c>
      <c r="K59" s="32">
        <v>0</v>
      </c>
    </row>
    <row r="61" spans="2:13" ht="15" customHeight="1">
      <c r="B61" s="6" t="s">
        <v>122</v>
      </c>
      <c r="C61" s="6"/>
      <c r="D61" s="6"/>
      <c r="E61" s="6"/>
      <c r="F61" s="6"/>
      <c r="G61" s="6"/>
      <c r="H61" s="6"/>
      <c r="I61" s="6"/>
      <c r="J61" s="6"/>
      <c r="K61" s="6"/>
    </row>
    <row r="62" spans="2:13" ht="15" customHeight="1">
      <c r="B62" s="9" t="s">
        <v>123</v>
      </c>
      <c r="C62" s="31">
        <v>1</v>
      </c>
      <c r="D62" s="1" t="str">
        <f>"Active: "&amp;CHOOSE(C62,"Base","Bull","Bear")</f>
        <v>Active: Base</v>
      </c>
      <c r="E62" s="1"/>
      <c r="F62" s="1"/>
      <c r="G62" s="1"/>
      <c r="H62" s="1"/>
      <c r="I62" s="1"/>
      <c r="J62" s="1"/>
      <c r="K62" s="1"/>
      <c r="M62" s="27" t="s">
        <v>124</v>
      </c>
    </row>
    <row r="63" spans="2:13" ht="15" customHeight="1">
      <c r="B63" s="9" t="s">
        <v>125</v>
      </c>
      <c r="G63" s="28">
        <v>0.18</v>
      </c>
      <c r="H63" s="28">
        <v>0.06</v>
      </c>
      <c r="I63" s="28">
        <v>-0.1</v>
      </c>
      <c r="J63" s="28">
        <v>-0.05</v>
      </c>
      <c r="K63" s="28">
        <v>0.06</v>
      </c>
      <c r="M63" s="27" t="s">
        <v>126</v>
      </c>
    </row>
    <row r="64" spans="2:13" ht="15" customHeight="1">
      <c r="B64" s="9" t="s">
        <v>127</v>
      </c>
      <c r="G64" s="28">
        <v>0.35</v>
      </c>
      <c r="H64" s="28">
        <v>0.1</v>
      </c>
      <c r="I64" s="28">
        <v>-0.05</v>
      </c>
      <c r="J64" s="28">
        <v>0</v>
      </c>
      <c r="K64" s="28">
        <v>0.06</v>
      </c>
      <c r="M64" s="27" t="s">
        <v>128</v>
      </c>
    </row>
    <row r="65" spans="2:13" ht="15" customHeight="1">
      <c r="B65" s="9" t="s">
        <v>129</v>
      </c>
      <c r="G65" s="28">
        <v>0</v>
      </c>
      <c r="H65" s="28">
        <v>-0.15</v>
      </c>
      <c r="I65" s="28">
        <v>-0.25</v>
      </c>
      <c r="J65" s="28">
        <v>-0.1</v>
      </c>
      <c r="K65" s="28">
        <v>0.06</v>
      </c>
      <c r="M65" s="27" t="s">
        <v>130</v>
      </c>
    </row>
    <row r="66" spans="2:13" ht="15" customHeight="1">
      <c r="B66" s="9" t="s">
        <v>131</v>
      </c>
      <c r="G66" s="28">
        <v>0.82</v>
      </c>
      <c r="H66" s="28">
        <v>0.78</v>
      </c>
      <c r="I66" s="28">
        <v>0.68</v>
      </c>
      <c r="J66" s="28">
        <v>0.57999999999999996</v>
      </c>
      <c r="K66" s="28">
        <v>0.6</v>
      </c>
      <c r="M66" s="27" t="s">
        <v>132</v>
      </c>
    </row>
    <row r="67" spans="2:13" ht="15" customHeight="1">
      <c r="B67" s="9" t="s">
        <v>133</v>
      </c>
      <c r="G67" s="28">
        <v>0.86</v>
      </c>
      <c r="H67" s="28">
        <v>0.84</v>
      </c>
      <c r="I67" s="28">
        <v>0.76</v>
      </c>
      <c r="J67" s="28">
        <v>0.68</v>
      </c>
      <c r="K67" s="28">
        <v>0.65</v>
      </c>
      <c r="M67" s="27" t="s">
        <v>134</v>
      </c>
    </row>
    <row r="68" spans="2:13" ht="15" customHeight="1">
      <c r="B68" s="9" t="s">
        <v>135</v>
      </c>
      <c r="G68" s="28">
        <v>0.75</v>
      </c>
      <c r="H68" s="28">
        <v>0.62</v>
      </c>
      <c r="I68" s="28">
        <v>0.48</v>
      </c>
      <c r="J68" s="28">
        <v>0.42</v>
      </c>
      <c r="K68" s="28">
        <v>0.45</v>
      </c>
      <c r="M68" s="27" t="s">
        <v>136</v>
      </c>
    </row>
  </sheetData>
  <mergeCells count="23">
    <mergeCell ref="B54:K54"/>
    <mergeCell ref="B61:K61"/>
    <mergeCell ref="D62:K62"/>
    <mergeCell ref="D48:K48"/>
    <mergeCell ref="D49:K49"/>
    <mergeCell ref="D50:K50"/>
    <mergeCell ref="D51:K51"/>
    <mergeCell ref="D52:K52"/>
    <mergeCell ref="D42:K42"/>
    <mergeCell ref="D43:K43"/>
    <mergeCell ref="D44:K44"/>
    <mergeCell ref="D45:K45"/>
    <mergeCell ref="B47:K47"/>
    <mergeCell ref="D37:K37"/>
    <mergeCell ref="D38:K38"/>
    <mergeCell ref="D39:K39"/>
    <mergeCell ref="D40:K40"/>
    <mergeCell ref="D41:K41"/>
    <mergeCell ref="B2:M2"/>
    <mergeCell ref="B6:K6"/>
    <mergeCell ref="B17:K17"/>
    <mergeCell ref="B35:D35"/>
    <mergeCell ref="D36:K36"/>
  </mergeCell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pageSetUpPr fitToPage="1"/>
  </sheetPr>
  <dimension ref="B2:F46"/>
  <sheetViews>
    <sheetView showGridLines="0" zoomScaleNormal="100" workbookViewId="0">
      <pane xSplit="2" ySplit="5" topLeftCell="C6" activePane="bottomRight" state="frozen"/>
      <selection pane="bottomRight"/>
      <selection pane="bottomLeft" activeCell="A6" sqref="A6"/>
      <selection pane="topRight" activeCell="C1" sqref="C1"/>
    </sheetView>
  </sheetViews>
  <sheetFormatPr defaultColWidth="8.7109375" defaultRowHeight="15"/>
  <cols>
    <col min="1" max="1" width="2" customWidth="1"/>
    <col min="2" max="2" width="44" customWidth="1"/>
    <col min="3" max="5" width="16" customWidth="1"/>
    <col min="6" max="6" width="70" customWidth="1"/>
  </cols>
  <sheetData>
    <row r="2" spans="2:6" ht="19.5" customHeight="1">
      <c r="B2" s="7" t="s">
        <v>137</v>
      </c>
      <c r="C2" s="7"/>
      <c r="D2" s="7"/>
      <c r="E2" s="7"/>
      <c r="F2" s="7"/>
    </row>
    <row r="3" spans="2:6" ht="15" customHeight="1">
      <c r="B3" s="8" t="s">
        <v>138</v>
      </c>
    </row>
    <row r="5" spans="2:6" ht="15" customHeight="1">
      <c r="B5" s="24" t="s">
        <v>139</v>
      </c>
      <c r="C5" s="25" t="s">
        <v>140</v>
      </c>
      <c r="D5" s="25" t="s">
        <v>141</v>
      </c>
      <c r="E5" s="25" t="s">
        <v>30</v>
      </c>
      <c r="F5" s="24" t="s">
        <v>142</v>
      </c>
    </row>
    <row r="6" spans="2:6" ht="15" customHeight="1">
      <c r="B6" s="6" t="s">
        <v>143</v>
      </c>
      <c r="C6" s="6"/>
      <c r="D6" s="6"/>
      <c r="E6" s="6"/>
      <c r="F6" s="6"/>
    </row>
    <row r="7" spans="2:6" ht="15" customHeight="1">
      <c r="B7" s="20" t="s">
        <v>36</v>
      </c>
      <c r="C7" s="32">
        <v>78959</v>
      </c>
      <c r="D7" s="32">
        <v>50000</v>
      </c>
      <c r="E7" s="39">
        <f>C7+D7</f>
        <v>128959</v>
      </c>
      <c r="F7" s="40" t="s">
        <v>144</v>
      </c>
    </row>
    <row r="8" spans="2:6" ht="15" customHeight="1">
      <c r="B8" s="9" t="s">
        <v>145</v>
      </c>
      <c r="C8" s="22">
        <f>C10/C7</f>
        <v>0.76567585709038866</v>
      </c>
      <c r="D8" s="28">
        <v>0.86</v>
      </c>
      <c r="E8" s="22">
        <f>E10/E7</f>
        <v>0.80224722586248343</v>
      </c>
      <c r="F8" s="40" t="s">
        <v>146</v>
      </c>
    </row>
    <row r="9" spans="2:6" ht="15" customHeight="1">
      <c r="B9" s="9" t="s">
        <v>147</v>
      </c>
      <c r="C9" s="32">
        <v>18502</v>
      </c>
      <c r="D9" s="33">
        <f>D7*(1-D8)</f>
        <v>7000.0000000000009</v>
      </c>
      <c r="E9" s="33">
        <f>C9+D9</f>
        <v>25502</v>
      </c>
      <c r="F9" s="40" t="s">
        <v>148</v>
      </c>
    </row>
    <row r="10" spans="2:6" ht="15" customHeight="1">
      <c r="B10" s="20" t="s">
        <v>149</v>
      </c>
      <c r="C10" s="39">
        <f>C7-C9</f>
        <v>60457</v>
      </c>
      <c r="D10" s="39">
        <f>D7-D9</f>
        <v>43000</v>
      </c>
      <c r="E10" s="39">
        <f>E7-E9</f>
        <v>103457</v>
      </c>
    </row>
    <row r="11" spans="2:6" ht="15" customHeight="1">
      <c r="B11" s="9" t="s">
        <v>150</v>
      </c>
      <c r="C11" s="33">
        <f>SUM(C12:C14)</f>
        <v>4868</v>
      </c>
      <c r="D11" s="32">
        <v>1860</v>
      </c>
      <c r="E11" s="33">
        <f>SUM(E12:E14)</f>
        <v>6728</v>
      </c>
      <c r="F11" s="40" t="s">
        <v>151</v>
      </c>
    </row>
    <row r="12" spans="2:6" ht="15" customHeight="1">
      <c r="B12" s="9" t="s">
        <v>152</v>
      </c>
      <c r="C12" s="32">
        <v>3737</v>
      </c>
      <c r="D12" s="33">
        <f>(D11-D14)*C39/(C39+C40)</f>
        <v>1409.1816598955311</v>
      </c>
      <c r="E12" s="33">
        <f>C12+D12</f>
        <v>5146.1816598955311</v>
      </c>
      <c r="F12" s="40" t="s">
        <v>153</v>
      </c>
    </row>
    <row r="13" spans="2:6" ht="15" customHeight="1">
      <c r="B13" s="9" t="s">
        <v>154</v>
      </c>
      <c r="C13" s="32">
        <v>1088</v>
      </c>
      <c r="D13" s="33">
        <f>D11-D12-D14</f>
        <v>435.81834010446892</v>
      </c>
      <c r="E13" s="33">
        <f>C13+D13</f>
        <v>1523.8183401044689</v>
      </c>
      <c r="F13" s="40" t="s">
        <v>155</v>
      </c>
    </row>
    <row r="14" spans="2:6" ht="15" customHeight="1">
      <c r="B14" s="9" t="s">
        <v>156</v>
      </c>
      <c r="C14" s="32">
        <v>43</v>
      </c>
      <c r="D14" s="32">
        <v>15</v>
      </c>
      <c r="E14" s="33">
        <f>C14+D14</f>
        <v>58</v>
      </c>
      <c r="F14" s="40" t="s">
        <v>157</v>
      </c>
    </row>
    <row r="15" spans="2:6" ht="15" customHeight="1">
      <c r="B15" s="20" t="s">
        <v>158</v>
      </c>
      <c r="C15" s="39">
        <f>C10-C11</f>
        <v>55589</v>
      </c>
      <c r="D15" s="39">
        <f>D10-D11</f>
        <v>41140</v>
      </c>
      <c r="E15" s="39">
        <f>E10-E11</f>
        <v>96729</v>
      </c>
    </row>
    <row r="16" spans="2:6" ht="15" customHeight="1">
      <c r="B16" s="9" t="s">
        <v>159</v>
      </c>
      <c r="C16" s="32">
        <v>6862</v>
      </c>
      <c r="D16" s="32">
        <v>2500</v>
      </c>
      <c r="E16" s="33">
        <f>C16+D16</f>
        <v>9362</v>
      </c>
      <c r="F16" s="40" t="s">
        <v>160</v>
      </c>
    </row>
    <row r="17" spans="2:6" ht="15" customHeight="1">
      <c r="B17" s="9" t="s">
        <v>161</v>
      </c>
      <c r="C17" s="32">
        <v>509</v>
      </c>
      <c r="D17" s="32">
        <v>215</v>
      </c>
      <c r="E17" s="33">
        <f>C17+D17</f>
        <v>724</v>
      </c>
      <c r="F17" s="40" t="s">
        <v>162</v>
      </c>
    </row>
    <row r="18" spans="2:6" ht="15" customHeight="1">
      <c r="B18" s="9" t="s">
        <v>163</v>
      </c>
      <c r="C18" s="32">
        <v>106</v>
      </c>
      <c r="D18" s="32">
        <v>0</v>
      </c>
      <c r="E18" s="33">
        <f>C18+D18</f>
        <v>106</v>
      </c>
      <c r="F18" s="40" t="s">
        <v>164</v>
      </c>
    </row>
    <row r="19" spans="2:6" ht="15" customHeight="1">
      <c r="B19" s="9" t="s">
        <v>165</v>
      </c>
      <c r="C19" s="32">
        <v>-559</v>
      </c>
      <c r="D19" s="32">
        <v>0</v>
      </c>
      <c r="E19" s="33">
        <f>C19+D19</f>
        <v>-559</v>
      </c>
      <c r="F19" s="40" t="s">
        <v>166</v>
      </c>
    </row>
    <row r="20" spans="2:6" ht="15" customHeight="1">
      <c r="B20" s="20" t="s">
        <v>167</v>
      </c>
      <c r="C20" s="39">
        <f>C15+C17-C18+C19</f>
        <v>55433</v>
      </c>
      <c r="D20" s="39">
        <f>D15+D17-D18+D19</f>
        <v>41355</v>
      </c>
      <c r="E20" s="39">
        <f>E15+E17-E18+E19</f>
        <v>96788</v>
      </c>
    </row>
    <row r="21" spans="2:6" ht="15" customHeight="1">
      <c r="B21" s="9" t="s">
        <v>168</v>
      </c>
      <c r="C21" s="22">
        <f>C22/C20</f>
        <v>0.14752944996662637</v>
      </c>
      <c r="D21" s="28">
        <v>0.15</v>
      </c>
      <c r="E21" s="22">
        <f>E22/E20</f>
        <v>0.14858505186593379</v>
      </c>
      <c r="F21" s="40" t="s">
        <v>169</v>
      </c>
    </row>
    <row r="22" spans="2:6" ht="15" customHeight="1">
      <c r="B22" s="9" t="s">
        <v>170</v>
      </c>
      <c r="C22" s="32">
        <v>8178</v>
      </c>
      <c r="D22" s="33">
        <f>D20*D21</f>
        <v>6203.25</v>
      </c>
      <c r="E22" s="33">
        <f>C22+D22</f>
        <v>14381.25</v>
      </c>
    </row>
    <row r="23" spans="2:6" ht="15" customHeight="1">
      <c r="B23" s="9" t="s">
        <v>118</v>
      </c>
      <c r="C23" s="32">
        <v>13</v>
      </c>
      <c r="D23" s="32">
        <v>0</v>
      </c>
      <c r="E23" s="33">
        <f>C23+D23</f>
        <v>13</v>
      </c>
      <c r="F23" s="40" t="s">
        <v>171</v>
      </c>
    </row>
    <row r="24" spans="2:6" ht="15" customHeight="1">
      <c r="B24" s="20" t="s">
        <v>41</v>
      </c>
      <c r="C24" s="39">
        <f>C20-C22+C23</f>
        <v>47268</v>
      </c>
      <c r="D24" s="39">
        <f>D20-D22+D23</f>
        <v>35151.75</v>
      </c>
      <c r="E24" s="39">
        <f>E20-E22+E23</f>
        <v>82419.75</v>
      </c>
    </row>
    <row r="26" spans="2:6" ht="15" customHeight="1">
      <c r="B26" s="6" t="s">
        <v>172</v>
      </c>
      <c r="C26" s="6"/>
      <c r="D26" s="6"/>
      <c r="E26" s="6"/>
      <c r="F26" s="6"/>
    </row>
    <row r="27" spans="2:6" ht="15" customHeight="1">
      <c r="B27" s="9" t="s">
        <v>173</v>
      </c>
      <c r="C27" s="32">
        <v>954</v>
      </c>
      <c r="D27" s="32">
        <v>364</v>
      </c>
      <c r="E27" s="33">
        <f>C27+D27</f>
        <v>1318</v>
      </c>
      <c r="F27" s="40" t="s">
        <v>174</v>
      </c>
    </row>
    <row r="28" spans="2:6" ht="15" customHeight="1">
      <c r="B28" s="9" t="s">
        <v>175</v>
      </c>
      <c r="C28" s="32">
        <v>19602</v>
      </c>
      <c r="D28" s="32">
        <v>10000</v>
      </c>
      <c r="E28" s="33">
        <f>C28+D28</f>
        <v>29602</v>
      </c>
      <c r="F28" s="40" t="s">
        <v>176</v>
      </c>
    </row>
    <row r="29" spans="2:6" ht="15" customHeight="1">
      <c r="B29" s="9" t="s">
        <v>80</v>
      </c>
      <c r="C29" s="32">
        <v>2989</v>
      </c>
      <c r="D29" s="32">
        <v>0</v>
      </c>
      <c r="E29" s="33">
        <f>C29+D29</f>
        <v>2989</v>
      </c>
      <c r="F29" s="40" t="s">
        <v>177</v>
      </c>
    </row>
    <row r="30" spans="2:6" ht="15" customHeight="1">
      <c r="B30" s="20" t="s">
        <v>178</v>
      </c>
      <c r="C30" s="39">
        <f>C28-C29</f>
        <v>16613</v>
      </c>
      <c r="D30" s="39">
        <f>D28-D29</f>
        <v>10000</v>
      </c>
      <c r="E30" s="39">
        <f>E28-E29</f>
        <v>26613</v>
      </c>
      <c r="F30" s="40" t="s">
        <v>179</v>
      </c>
    </row>
    <row r="31" spans="2:6" ht="15" customHeight="1">
      <c r="B31" s="9" t="s">
        <v>82</v>
      </c>
      <c r="C31" s="32">
        <v>437</v>
      </c>
      <c r="D31" s="33">
        <f>D41*D42</f>
        <v>169.2</v>
      </c>
      <c r="E31" s="33">
        <f>C31+D31</f>
        <v>606.20000000000005</v>
      </c>
      <c r="F31" s="40" t="s">
        <v>180</v>
      </c>
    </row>
    <row r="32" spans="2:6" ht="15" customHeight="1">
      <c r="B32" s="9" t="s">
        <v>181</v>
      </c>
      <c r="C32" s="32">
        <v>650</v>
      </c>
      <c r="D32" s="32">
        <v>0</v>
      </c>
      <c r="E32" s="33">
        <f>C32+D32</f>
        <v>650</v>
      </c>
      <c r="F32" s="40" t="s">
        <v>182</v>
      </c>
    </row>
    <row r="33" spans="2:6" ht="15" customHeight="1">
      <c r="B33" s="9" t="s">
        <v>119</v>
      </c>
      <c r="C33" s="32">
        <v>-179</v>
      </c>
      <c r="D33" s="32">
        <v>0</v>
      </c>
      <c r="E33" s="33">
        <f>C33+D33</f>
        <v>-179</v>
      </c>
      <c r="F33" s="40" t="s">
        <v>183</v>
      </c>
    </row>
    <row r="34" spans="2:6" ht="15" customHeight="1">
      <c r="B34" s="9" t="s">
        <v>121</v>
      </c>
      <c r="C34" s="32">
        <v>8</v>
      </c>
      <c r="D34" s="32">
        <v>0</v>
      </c>
      <c r="E34" s="33">
        <f>C34+D34</f>
        <v>8</v>
      </c>
      <c r="F34" s="40" t="s">
        <v>171</v>
      </c>
    </row>
    <row r="36" spans="2:6" ht="15" customHeight="1">
      <c r="B36" s="6" t="s">
        <v>184</v>
      </c>
      <c r="C36" s="6"/>
      <c r="D36" s="6"/>
      <c r="E36" s="6"/>
      <c r="F36" s="6"/>
    </row>
    <row r="37" spans="2:6" ht="15" customHeight="1">
      <c r="B37" s="9" t="s">
        <v>185</v>
      </c>
      <c r="C37" s="32">
        <v>47268</v>
      </c>
    </row>
    <row r="38" spans="2:6" ht="15" customHeight="1">
      <c r="B38" s="9" t="s">
        <v>186</v>
      </c>
      <c r="C38" s="33">
        <f>C24-C37</f>
        <v>0</v>
      </c>
    </row>
    <row r="39" spans="2:6" ht="15" customHeight="1">
      <c r="B39" s="9" t="s">
        <v>187</v>
      </c>
      <c r="C39" s="32">
        <v>1316</v>
      </c>
    </row>
    <row r="40" spans="2:6" ht="15" customHeight="1">
      <c r="B40" s="9" t="s">
        <v>188</v>
      </c>
      <c r="C40" s="32">
        <v>407</v>
      </c>
    </row>
    <row r="41" spans="2:6" ht="15" customHeight="1">
      <c r="B41" s="9" t="s">
        <v>189</v>
      </c>
      <c r="D41" s="21">
        <v>0.15</v>
      </c>
    </row>
    <row r="42" spans="2:6" ht="15" customHeight="1">
      <c r="B42" s="9" t="s">
        <v>190</v>
      </c>
      <c r="D42" s="32">
        <v>1128</v>
      </c>
    </row>
    <row r="43" spans="2:6" ht="15" customHeight="1">
      <c r="B43" s="9" t="s">
        <v>191</v>
      </c>
      <c r="D43" s="21">
        <v>30.73</v>
      </c>
    </row>
    <row r="44" spans="2:6" ht="15" customHeight="1">
      <c r="B44" s="9" t="s">
        <v>192</v>
      </c>
      <c r="D44" s="33">
        <f>Assumptions!F33</f>
        <v>1150</v>
      </c>
      <c r="F44" s="40" t="s">
        <v>193</v>
      </c>
    </row>
    <row r="45" spans="2:6" ht="15" customHeight="1">
      <c r="B45" s="9" t="s">
        <v>194</v>
      </c>
      <c r="D45" s="33">
        <f>D43*D44</f>
        <v>35339.5</v>
      </c>
    </row>
    <row r="46" spans="2:6" ht="15" customHeight="1">
      <c r="B46" s="9" t="s">
        <v>195</v>
      </c>
      <c r="D46" s="22">
        <f>D24/D45-1</f>
        <v>-5.312752019694722E-3</v>
      </c>
      <c r="F46" s="40" t="s">
        <v>196</v>
      </c>
    </row>
  </sheetData>
  <mergeCells count="4">
    <mergeCell ref="B2:F2"/>
    <mergeCell ref="B6:F6"/>
    <mergeCell ref="B26:F26"/>
    <mergeCell ref="B36:F36"/>
  </mergeCell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B2:K84"/>
  <sheetViews>
    <sheetView showGridLines="0" zoomScaleNormal="100" workbookViewId="0">
      <pane xSplit="2" ySplit="5" topLeftCell="C77" activePane="bottomRight" state="frozen"/>
      <selection pane="bottomRight" activeCell="B3" sqref="B3"/>
      <selection pane="bottomLeft" activeCell="A6" sqref="A6"/>
      <selection pane="topRight" activeCell="C1" sqref="C1"/>
    </sheetView>
  </sheetViews>
  <sheetFormatPr defaultColWidth="8.7109375" defaultRowHeight="15"/>
  <cols>
    <col min="2" max="2" width="44" customWidth="1"/>
    <col min="3" max="11" width="14" customWidth="1"/>
  </cols>
  <sheetData>
    <row r="2" spans="2:11" ht="19.5" customHeight="1">
      <c r="B2" s="7" t="s">
        <v>197</v>
      </c>
      <c r="C2" s="7"/>
      <c r="D2" s="7"/>
      <c r="E2" s="7"/>
      <c r="F2" s="7"/>
      <c r="G2" s="7"/>
      <c r="H2" s="7"/>
      <c r="I2" s="7"/>
      <c r="J2" s="7"/>
      <c r="K2" s="7"/>
    </row>
    <row r="3" spans="2:11" ht="15" customHeight="1">
      <c r="B3" s="8" t="s">
        <v>198</v>
      </c>
      <c r="C3" s="8"/>
      <c r="D3" s="8"/>
      <c r="E3" s="8"/>
      <c r="F3" s="8"/>
      <c r="G3" s="8"/>
      <c r="H3" s="8"/>
      <c r="I3" s="8"/>
      <c r="J3" s="8"/>
      <c r="K3" s="8"/>
    </row>
    <row r="4" spans="2:11" ht="15" customHeight="1">
      <c r="B4" s="9"/>
      <c r="C4" s="9"/>
      <c r="D4" s="9"/>
      <c r="E4" s="9"/>
      <c r="F4" s="9"/>
      <c r="G4" s="9"/>
      <c r="H4" s="9"/>
      <c r="I4" s="9"/>
      <c r="J4" s="9"/>
      <c r="K4" s="9"/>
    </row>
    <row r="5" spans="2:11" ht="15" customHeight="1">
      <c r="B5" s="24" t="s">
        <v>48</v>
      </c>
      <c r="C5" s="25" t="s">
        <v>49</v>
      </c>
      <c r="D5" s="25" t="s">
        <v>50</v>
      </c>
      <c r="E5" s="25" t="s">
        <v>29</v>
      </c>
      <c r="F5" s="25" t="s">
        <v>30</v>
      </c>
      <c r="G5" s="25" t="s">
        <v>31</v>
      </c>
      <c r="H5" s="25" t="s">
        <v>32</v>
      </c>
      <c r="I5" s="25" t="s">
        <v>33</v>
      </c>
      <c r="J5" s="25" t="s">
        <v>34</v>
      </c>
      <c r="K5" s="26" t="s">
        <v>35</v>
      </c>
    </row>
    <row r="6" spans="2:11" ht="15" customHeight="1">
      <c r="B6" s="6" t="s">
        <v>143</v>
      </c>
      <c r="C6" s="6"/>
      <c r="D6" s="6"/>
      <c r="E6" s="6"/>
      <c r="F6" s="6"/>
      <c r="G6" s="6"/>
      <c r="H6" s="6"/>
      <c r="I6" s="6"/>
      <c r="J6" s="6"/>
      <c r="K6" s="6"/>
    </row>
    <row r="7" spans="2:11" ht="15" customHeight="1">
      <c r="B7" s="20" t="s">
        <v>36</v>
      </c>
      <c r="C7" s="41">
        <v>15540</v>
      </c>
      <c r="D7" s="41">
        <v>25111</v>
      </c>
      <c r="E7" s="41">
        <v>37378</v>
      </c>
      <c r="F7" s="23">
        <f>'FY26 Bridge'!E7</f>
        <v>128959</v>
      </c>
      <c r="G7" s="39">
        <f>F7*(1+Assumptions!G$7)</f>
        <v>152171.62</v>
      </c>
      <c r="H7" s="39">
        <f>G7*(1+Assumptions!H$7)</f>
        <v>161301.9172</v>
      </c>
      <c r="I7" s="39">
        <f>H7*(1+Assumptions!I$7)</f>
        <v>145171.72547999999</v>
      </c>
      <c r="J7" s="39">
        <f>I7*(1+Assumptions!J$7)</f>
        <v>137913.13920599999</v>
      </c>
      <c r="K7" s="39">
        <f>J7*(1+Assumptions!K$7)</f>
        <v>146187.92755836001</v>
      </c>
    </row>
    <row r="8" spans="2:11" ht="15" customHeight="1">
      <c r="B8" s="8" t="s">
        <v>37</v>
      </c>
      <c r="C8" s="42"/>
      <c r="D8" s="42">
        <f>D7/C7-1</f>
        <v>0.61589446589446584</v>
      </c>
      <c r="E8" s="42">
        <f>E7/D7-1</f>
        <v>0.48851101111066852</v>
      </c>
      <c r="F8" s="42">
        <f>F7/E7-1</f>
        <v>2.450131093156402</v>
      </c>
      <c r="G8" s="42">
        <f>G7/F7-1</f>
        <v>0.17999999999999994</v>
      </c>
      <c r="H8" s="42">
        <f>H7/G7-1</f>
        <v>6.0000000000000053E-2</v>
      </c>
      <c r="I8" s="42">
        <f>I7/H7-1</f>
        <v>-9.9999999999999978E-2</v>
      </c>
      <c r="J8" s="42">
        <f>J7/I7-1</f>
        <v>-5.0000000000000044E-2</v>
      </c>
      <c r="K8" s="42">
        <f>K7/J7-1</f>
        <v>6.0000000000000053E-2</v>
      </c>
    </row>
    <row r="9" spans="2:11" ht="15" customHeight="1">
      <c r="B9" s="9" t="s">
        <v>147</v>
      </c>
      <c r="C9" s="43">
        <v>16956</v>
      </c>
      <c r="D9" s="43">
        <v>19498</v>
      </c>
      <c r="E9" s="43">
        <v>22505</v>
      </c>
      <c r="F9" s="16">
        <f>'FY26 Bridge'!E9</f>
        <v>25502</v>
      </c>
      <c r="G9" s="16">
        <f>G7*(1-Assumptions!G$8)</f>
        <v>27390.891600000006</v>
      </c>
      <c r="H9" s="16">
        <f>H7*(1-Assumptions!H$8)</f>
        <v>35486.421783999998</v>
      </c>
      <c r="I9" s="16">
        <f>I7*(1-Assumptions!I$8)</f>
        <v>46454.952153599988</v>
      </c>
      <c r="J9" s="16">
        <f>J7*(1-Assumptions!J$8)</f>
        <v>57923.518466519999</v>
      </c>
      <c r="K9" s="16">
        <f>K7*(1-Assumptions!K$8)</f>
        <v>58475.17102334401</v>
      </c>
    </row>
    <row r="10" spans="2:11" ht="15" customHeight="1">
      <c r="B10" s="44" t="s">
        <v>149</v>
      </c>
      <c r="C10" s="45">
        <f>C7-C9</f>
        <v>-1416</v>
      </c>
      <c r="D10" s="45">
        <f>D7-D9</f>
        <v>5613</v>
      </c>
      <c r="E10" s="45">
        <f>E7-E9</f>
        <v>14873</v>
      </c>
      <c r="F10" s="45">
        <f>F7-F9</f>
        <v>103457</v>
      </c>
      <c r="G10" s="45">
        <f>G7-G9</f>
        <v>124780.72839999999</v>
      </c>
      <c r="H10" s="45">
        <f>H7-H9</f>
        <v>125815.49541599999</v>
      </c>
      <c r="I10" s="45">
        <f>I7-I9</f>
        <v>98716.773326399998</v>
      </c>
      <c r="J10" s="45">
        <f>J7-J9</f>
        <v>79989.620739479986</v>
      </c>
      <c r="K10" s="45">
        <f>K7-K9</f>
        <v>87712.756535016</v>
      </c>
    </row>
    <row r="11" spans="2:11" ht="15" customHeight="1">
      <c r="B11" s="8" t="s">
        <v>38</v>
      </c>
      <c r="C11" s="42">
        <f>C10/C7</f>
        <v>-9.1119691119691121E-2</v>
      </c>
      <c r="D11" s="42">
        <f>D10/D7</f>
        <v>0.22352753773246783</v>
      </c>
      <c r="E11" s="42">
        <f>E10/E7</f>
        <v>0.39790786023864305</v>
      </c>
      <c r="F11" s="42">
        <f>F10/F7</f>
        <v>0.80224722586248343</v>
      </c>
      <c r="G11" s="42">
        <f>G10/G7</f>
        <v>0.82</v>
      </c>
      <c r="H11" s="42">
        <f>H10/H7</f>
        <v>0.77999999999999992</v>
      </c>
      <c r="I11" s="42">
        <f>I10/I7</f>
        <v>0.68</v>
      </c>
      <c r="J11" s="42">
        <f>J10/J7</f>
        <v>0.57999999999999996</v>
      </c>
      <c r="K11" s="42">
        <f>K10/K7</f>
        <v>0.6</v>
      </c>
    </row>
    <row r="12" spans="2:11" ht="15" customHeight="1">
      <c r="B12" s="9" t="s">
        <v>152</v>
      </c>
      <c r="C12" s="43">
        <v>3114</v>
      </c>
      <c r="D12" s="43">
        <v>3430</v>
      </c>
      <c r="E12" s="43">
        <v>3798</v>
      </c>
      <c r="F12" s="16">
        <f>'FY26 Bridge'!E12</f>
        <v>5146.1816598955311</v>
      </c>
      <c r="G12" s="16">
        <f>G7*Assumptions!G$9</f>
        <v>6086.8648000000003</v>
      </c>
      <c r="H12" s="16">
        <f>H7*Assumptions!H$9</f>
        <v>6452.0766880000001</v>
      </c>
      <c r="I12" s="16">
        <f>I7*Assumptions!I$9</f>
        <v>6242.3841956399992</v>
      </c>
      <c r="J12" s="16">
        <f>J7*Assumptions!J$9</f>
        <v>6895.6569602999998</v>
      </c>
      <c r="K12" s="16">
        <f>K7*Assumptions!K$9</f>
        <v>7017.020522801281</v>
      </c>
    </row>
    <row r="13" spans="2:11" ht="15" customHeight="1">
      <c r="B13" s="9" t="s">
        <v>154</v>
      </c>
      <c r="C13" s="43">
        <v>920</v>
      </c>
      <c r="D13" s="43">
        <v>1129</v>
      </c>
      <c r="E13" s="43">
        <v>1205</v>
      </c>
      <c r="F13" s="16">
        <f>'FY26 Bridge'!E13</f>
        <v>1523.8183401044689</v>
      </c>
      <c r="G13" s="16">
        <f>G7*Assumptions!G$10</f>
        <v>1826.05944</v>
      </c>
      <c r="H13" s="16">
        <f>H7*Assumptions!H$10</f>
        <v>1935.6230063999999</v>
      </c>
      <c r="I13" s="16">
        <f>I7*Assumptions!I$10</f>
        <v>1887.2324312399999</v>
      </c>
      <c r="J13" s="16">
        <f>J7*Assumptions!J$10</f>
        <v>2068.6970880899999</v>
      </c>
      <c r="K13" s="16">
        <f>K7*Assumptions!K$10</f>
        <v>2046.6309858170403</v>
      </c>
    </row>
    <row r="14" spans="2:11" ht="15" customHeight="1">
      <c r="B14" s="9" t="s">
        <v>156</v>
      </c>
      <c r="C14" s="43">
        <v>295</v>
      </c>
      <c r="D14" s="43">
        <v>-250</v>
      </c>
      <c r="E14" s="43">
        <v>100</v>
      </c>
      <c r="F14" s="16">
        <f>'FY26 Bridge'!E14</f>
        <v>58</v>
      </c>
      <c r="G14" s="16">
        <f>G7*Assumptions!G$11</f>
        <v>45.651485999999991</v>
      </c>
      <c r="H14" s="16">
        <f>H7*Assumptions!H$11</f>
        <v>48.390575159999997</v>
      </c>
      <c r="I14" s="16">
        <f>I7*Assumptions!I$11</f>
        <v>58.068690191999998</v>
      </c>
      <c r="J14" s="16">
        <f>J7*Assumptions!J$11</f>
        <v>68.956569602999991</v>
      </c>
      <c r="K14" s="16">
        <f>K7*Assumptions!K$11</f>
        <v>73.093963779180001</v>
      </c>
    </row>
    <row r="15" spans="2:11" ht="15" customHeight="1">
      <c r="B15" s="44" t="s">
        <v>199</v>
      </c>
      <c r="C15" s="45">
        <f>C10-SUM(C12:C14)</f>
        <v>-5745</v>
      </c>
      <c r="D15" s="45">
        <f>D10-SUM(D12:D14)</f>
        <v>1304</v>
      </c>
      <c r="E15" s="45">
        <f>E10-SUM(E12:E14)</f>
        <v>9770</v>
      </c>
      <c r="F15" s="45">
        <f>F10-SUM(F12:F14)</f>
        <v>96729</v>
      </c>
      <c r="G15" s="45">
        <f>G10-SUM(G12:G14)</f>
        <v>116822.152674</v>
      </c>
      <c r="H15" s="45">
        <f>H10-SUM(H12:H14)</f>
        <v>117379.40514644</v>
      </c>
      <c r="I15" s="45">
        <f>I10-SUM(I12:I14)</f>
        <v>90529.088009327999</v>
      </c>
      <c r="J15" s="45">
        <f>J10-SUM(J12:J14)</f>
        <v>70956.310121486982</v>
      </c>
      <c r="K15" s="45">
        <f>K10-SUM(K12:K14)</f>
        <v>78576.011062618505</v>
      </c>
    </row>
    <row r="16" spans="2:11" ht="15" customHeight="1">
      <c r="B16" s="8" t="s">
        <v>39</v>
      </c>
      <c r="C16" s="42">
        <f>C15/C7</f>
        <v>-0.36969111969111967</v>
      </c>
      <c r="D16" s="42">
        <f>D15/D7</f>
        <v>5.192943331607662E-2</v>
      </c>
      <c r="E16" s="42">
        <f>E15/E7</f>
        <v>0.26138370164267749</v>
      </c>
      <c r="F16" s="42">
        <f>F15/F7</f>
        <v>0.75007560542498009</v>
      </c>
      <c r="G16" s="42">
        <f>G15/G7</f>
        <v>0.76770000000000005</v>
      </c>
      <c r="H16" s="42">
        <f>H15/H7</f>
        <v>0.72770000000000001</v>
      </c>
      <c r="I16" s="42">
        <f>I15/I7</f>
        <v>0.62360000000000004</v>
      </c>
      <c r="J16" s="42">
        <f>J15/J7</f>
        <v>0.51449999999999985</v>
      </c>
      <c r="K16" s="42">
        <f>K15/K7</f>
        <v>0.53749999999999998</v>
      </c>
    </row>
    <row r="17" spans="2:11" ht="15" customHeight="1">
      <c r="B17" s="9" t="s">
        <v>159</v>
      </c>
      <c r="C17" s="43">
        <v>7756</v>
      </c>
      <c r="D17" s="43">
        <v>7780</v>
      </c>
      <c r="E17" s="43">
        <v>8352</v>
      </c>
      <c r="F17" s="16">
        <f>'FY26 Bridge'!E16</f>
        <v>9362</v>
      </c>
      <c r="G17" s="16">
        <f>F39*Assumptions!G$26</f>
        <v>12768.2</v>
      </c>
      <c r="H17" s="16">
        <f>G39*Assumptions!H$26</f>
        <v>17293.103999999999</v>
      </c>
      <c r="I17" s="16">
        <f>H39*Assumptions!I$26</f>
        <v>20604.751359999998</v>
      </c>
      <c r="J17" s="16">
        <f>I39*Assumptions!J$26</f>
        <v>22226.241696000001</v>
      </c>
      <c r="K17" s="16">
        <f>J39*Assumptions!K$26</f>
        <v>21832.818412159999</v>
      </c>
    </row>
    <row r="18" spans="2:11" ht="15" customHeight="1">
      <c r="B18" s="44" t="s">
        <v>40</v>
      </c>
      <c r="C18" s="45">
        <f>C15+C17</f>
        <v>2011</v>
      </c>
      <c r="D18" s="45">
        <f>D15+D17</f>
        <v>9084</v>
      </c>
      <c r="E18" s="45">
        <f>E15+E17</f>
        <v>18122</v>
      </c>
      <c r="F18" s="45">
        <f>F15+F17</f>
        <v>106091</v>
      </c>
      <c r="G18" s="45">
        <f>G15+G17</f>
        <v>129590.35267399999</v>
      </c>
      <c r="H18" s="45">
        <f>H15+H17</f>
        <v>134672.50914643999</v>
      </c>
      <c r="I18" s="45">
        <f>I15+I17</f>
        <v>111133.83936932799</v>
      </c>
      <c r="J18" s="45">
        <f>J15+J17</f>
        <v>93182.551817486979</v>
      </c>
      <c r="K18" s="45">
        <f>K15+K17</f>
        <v>100408.8294747785</v>
      </c>
    </row>
    <row r="19" spans="2:11" ht="15" customHeight="1">
      <c r="B19" s="8" t="s">
        <v>200</v>
      </c>
      <c r="C19" s="42">
        <f>C18/C7</f>
        <v>0.12940797940797941</v>
      </c>
      <c r="D19" s="42">
        <f>D18/D7</f>
        <v>0.36175381306996934</v>
      </c>
      <c r="E19" s="42">
        <f>E18/E7</f>
        <v>0.4848306490448927</v>
      </c>
      <c r="F19" s="42">
        <f>F18/F7</f>
        <v>0.82267232221093523</v>
      </c>
      <c r="G19" s="42">
        <f>G18/G7</f>
        <v>0.85160657863798783</v>
      </c>
      <c r="H19" s="42">
        <f>H18/H7</f>
        <v>0.83490953786654676</v>
      </c>
      <c r="I19" s="42">
        <f>I18/I7</f>
        <v>0.76553363956977061</v>
      </c>
      <c r="J19" s="42">
        <f>J18/J7</f>
        <v>0.67566116146700705</v>
      </c>
      <c r="K19" s="42">
        <f>K18/K7</f>
        <v>0.68684761561240459</v>
      </c>
    </row>
    <row r="20" spans="2:11" ht="15" customHeight="1">
      <c r="B20" s="9" t="s">
        <v>161</v>
      </c>
      <c r="C20" s="43">
        <v>468</v>
      </c>
      <c r="D20" s="43">
        <v>529</v>
      </c>
      <c r="E20" s="43">
        <v>496</v>
      </c>
      <c r="F20" s="16">
        <f>'FY26 Bridge'!E17</f>
        <v>724</v>
      </c>
      <c r="G20" s="16">
        <f>SUM(F34:F35)*Assumptions!G$13</f>
        <v>2079.3526657534253</v>
      </c>
      <c r="H20" s="16">
        <f>SUM(G34:G35)*Assumptions!H$13</f>
        <v>2054.0826657534253</v>
      </c>
      <c r="I20" s="16">
        <f>SUM(H34:H35)*Assumptions!I$13</f>
        <v>2036.5826657534255</v>
      </c>
      <c r="J20" s="16">
        <f>SUM(I34:I35)*Assumptions!J$13</f>
        <v>2019.0826657534255</v>
      </c>
      <c r="K20" s="16">
        <f>SUM(J34:J35)*Assumptions!K$13</f>
        <v>2001.5826657534255</v>
      </c>
    </row>
    <row r="21" spans="2:11" ht="15" customHeight="1">
      <c r="B21" s="9" t="s">
        <v>163</v>
      </c>
      <c r="C21" s="43">
        <v>388</v>
      </c>
      <c r="D21" s="43">
        <v>562</v>
      </c>
      <c r="E21" s="43">
        <v>477</v>
      </c>
      <c r="F21" s="16">
        <f>'FY26 Bridge'!E18</f>
        <v>106</v>
      </c>
      <c r="G21" s="16">
        <f>AVERAGE(F45,G45)*Assumptions!G$14</f>
        <v>268.05</v>
      </c>
      <c r="H21" s="16">
        <f>AVERAGE(G45,H45)*Assumptions!H$14</f>
        <v>237.5</v>
      </c>
      <c r="I21" s="16">
        <f>AVERAGE(H45,I45)*Assumptions!I$14</f>
        <v>212.5</v>
      </c>
      <c r="J21" s="16">
        <f>AVERAGE(I45,J45)*Assumptions!J$14</f>
        <v>187.5</v>
      </c>
      <c r="K21" s="16">
        <f>AVERAGE(J45,K45)*Assumptions!K$14</f>
        <v>162.5</v>
      </c>
    </row>
    <row r="22" spans="2:11" ht="15" customHeight="1">
      <c r="B22" s="9" t="s">
        <v>201</v>
      </c>
      <c r="C22" s="43">
        <v>7</v>
      </c>
      <c r="D22" s="43">
        <v>-31</v>
      </c>
      <c r="E22" s="43">
        <v>-135</v>
      </c>
      <c r="F22" s="16">
        <f>'FY26 Bridge'!E19</f>
        <v>-559</v>
      </c>
      <c r="G22" s="16">
        <f>G7*Assumptions!G$15</f>
        <v>-304.34323999999998</v>
      </c>
      <c r="H22" s="16">
        <f>H7*Assumptions!H$15</f>
        <v>-322.60383439999998</v>
      </c>
      <c r="I22" s="16">
        <f>I7*Assumptions!I$15</f>
        <v>-290.34345095999998</v>
      </c>
      <c r="J22" s="16">
        <f>J7*Assumptions!J$15</f>
        <v>-275.82627841199997</v>
      </c>
      <c r="K22" s="16">
        <f>K7*Assumptions!K$15</f>
        <v>-292.37585511672</v>
      </c>
    </row>
    <row r="23" spans="2:11" ht="15" customHeight="1">
      <c r="B23" s="9" t="s">
        <v>202</v>
      </c>
      <c r="C23" s="33">
        <f>C15+C20-C21+C22</f>
        <v>-5658</v>
      </c>
      <c r="D23" s="33">
        <f>D15+D20-D21+D22</f>
        <v>1240</v>
      </c>
      <c r="E23" s="33">
        <f>E15+E20-E21+E22</f>
        <v>9654</v>
      </c>
      <c r="F23" s="33">
        <f>F15+F20-F21+F22</f>
        <v>96788</v>
      </c>
      <c r="G23" s="33">
        <f>G15+G20-G21+G22</f>
        <v>118329.11209975342</v>
      </c>
      <c r="H23" s="33">
        <f>H15+H20-H21+H22</f>
        <v>118873.38397779342</v>
      </c>
      <c r="I23" s="33">
        <f>I15+I20-I21+I22</f>
        <v>92062.827224121414</v>
      </c>
      <c r="J23" s="33">
        <f>J15+J20-J21+J22</f>
        <v>72512.0665088284</v>
      </c>
      <c r="K23" s="33">
        <f>K15+K20-K21+K22</f>
        <v>80122.717873255198</v>
      </c>
    </row>
    <row r="24" spans="2:11" ht="15" customHeight="1">
      <c r="B24" s="9" t="s">
        <v>170</v>
      </c>
      <c r="C24" s="43">
        <v>177</v>
      </c>
      <c r="D24" s="43">
        <v>451</v>
      </c>
      <c r="E24" s="43">
        <v>1124</v>
      </c>
      <c r="F24" s="16">
        <f>'FY26 Bridge'!E22</f>
        <v>14381.25</v>
      </c>
      <c r="G24" s="16">
        <f>MAX(0,G23*Assumptions!G$12)</f>
        <v>17749.36681496301</v>
      </c>
      <c r="H24" s="16">
        <f>MAX(0,H23*Assumptions!H$12)</f>
        <v>17831.007596669013</v>
      </c>
      <c r="I24" s="16">
        <f>MAX(0,I23*Assumptions!I$12)</f>
        <v>13809.424083618213</v>
      </c>
      <c r="J24" s="16">
        <f>MAX(0,J23*Assumptions!J$12)</f>
        <v>10876.809976324259</v>
      </c>
      <c r="K24" s="16">
        <f>MAX(0,K23*Assumptions!K$12)</f>
        <v>12018.407680988279</v>
      </c>
    </row>
    <row r="25" spans="2:11" ht="15" customHeight="1">
      <c r="B25" s="9" t="s">
        <v>118</v>
      </c>
      <c r="C25" s="43">
        <v>2</v>
      </c>
      <c r="D25" s="43">
        <v>-11</v>
      </c>
      <c r="E25" s="43">
        <v>9</v>
      </c>
      <c r="F25" s="16">
        <f>Assumptions!F$57</f>
        <v>13</v>
      </c>
      <c r="G25" s="16">
        <f>Assumptions!G$57</f>
        <v>0</v>
      </c>
      <c r="H25" s="16">
        <f>Assumptions!H$57</f>
        <v>0</v>
      </c>
      <c r="I25" s="16">
        <f>Assumptions!I$57</f>
        <v>0</v>
      </c>
      <c r="J25" s="16">
        <f>Assumptions!J$57</f>
        <v>0</v>
      </c>
      <c r="K25" s="16">
        <f>Assumptions!K$57</f>
        <v>0</v>
      </c>
    </row>
    <row r="26" spans="2:11" ht="15" customHeight="1">
      <c r="B26" s="44" t="s">
        <v>203</v>
      </c>
      <c r="C26" s="45">
        <f>C23-C24+C25</f>
        <v>-5833</v>
      </c>
      <c r="D26" s="45">
        <f>D23-D24+D25</f>
        <v>778</v>
      </c>
      <c r="E26" s="45">
        <f>E23-E24+E25</f>
        <v>8539</v>
      </c>
      <c r="F26" s="45">
        <f>F23-F24+F25</f>
        <v>82419.75</v>
      </c>
      <c r="G26" s="45">
        <f>G23-G24+G25</f>
        <v>100579.74528479041</v>
      </c>
      <c r="H26" s="45">
        <f>H23-H24+H25</f>
        <v>101042.3763811244</v>
      </c>
      <c r="I26" s="45">
        <f>I23-I24+I25</f>
        <v>78253.4031405032</v>
      </c>
      <c r="J26" s="45">
        <f>J23-J24+J25</f>
        <v>61635.256532504143</v>
      </c>
      <c r="K26" s="45">
        <f>K23-K24+K25</f>
        <v>68104.310192266916</v>
      </c>
    </row>
    <row r="27" spans="2:11" ht="15" customHeight="1">
      <c r="B27" s="9" t="s">
        <v>101</v>
      </c>
      <c r="C27" s="43">
        <v>1093</v>
      </c>
      <c r="D27" s="43">
        <v>1118</v>
      </c>
      <c r="E27" s="43">
        <v>1125</v>
      </c>
      <c r="F27" s="16">
        <f>Assumptions!F$33</f>
        <v>1150</v>
      </c>
      <c r="G27" s="16">
        <f>Assumptions!G$33</f>
        <v>1081.1122290670203</v>
      </c>
      <c r="H27" s="16">
        <f>Assumptions!H$33</f>
        <v>1008.0330950617927</v>
      </c>
      <c r="I27" s="16">
        <f>Assumptions!I$33</f>
        <v>940.75513610391124</v>
      </c>
      <c r="J27" s="16">
        <f>Assumptions!J$33</f>
        <v>880.53760435807942</v>
      </c>
      <c r="K27" s="16">
        <f>Assumptions!K$33</f>
        <v>816.28825766881982</v>
      </c>
    </row>
    <row r="28" spans="2:11" ht="15" customHeight="1">
      <c r="B28" s="9" t="s">
        <v>42</v>
      </c>
      <c r="C28" s="38">
        <f>C26/C27</f>
        <v>-5.3366880146386091</v>
      </c>
      <c r="D28" s="38">
        <f>D26/D27</f>
        <v>0.69588550983899822</v>
      </c>
      <c r="E28" s="38">
        <f>E26/E27</f>
        <v>7.5902222222222226</v>
      </c>
      <c r="F28" s="38">
        <f>F26/F27</f>
        <v>71.669347826086963</v>
      </c>
      <c r="G28" s="38">
        <f>G26/G27</f>
        <v>93.033583915324726</v>
      </c>
      <c r="H28" s="38">
        <f>H26/H27</f>
        <v>100.23716173220531</v>
      </c>
      <c r="I28" s="38">
        <f>I26/I27</f>
        <v>83.18147851372423</v>
      </c>
      <c r="J28" s="38">
        <f>J26/J27</f>
        <v>69.997301906755993</v>
      </c>
      <c r="K28" s="38">
        <f>K26/K27</f>
        <v>83.431691626633494</v>
      </c>
    </row>
    <row r="29" spans="2:11" ht="15" customHeight="1">
      <c r="B29" s="44" t="s">
        <v>43</v>
      </c>
      <c r="C29" s="45">
        <f>C81</f>
        <v>-5407</v>
      </c>
      <c r="D29" s="45">
        <f>D81</f>
        <v>436</v>
      </c>
      <c r="E29" s="45">
        <f>E81</f>
        <v>3673</v>
      </c>
      <c r="F29" s="45">
        <f>F81</f>
        <v>57752.276164383569</v>
      </c>
      <c r="G29" s="45">
        <f>G81</f>
        <v>65575.568315201352</v>
      </c>
      <c r="H29" s="45">
        <f>H81</f>
        <v>69677.425615250424</v>
      </c>
      <c r="I29" s="45">
        <f>I81</f>
        <v>64309.054494211145</v>
      </c>
      <c r="J29" s="45">
        <f>J81</f>
        <v>57840.197833543003</v>
      </c>
      <c r="K29" s="45">
        <f>K81</f>
        <v>61732.639314185028</v>
      </c>
    </row>
    <row r="30" spans="2:11" ht="15" customHeight="1">
      <c r="B30" s="9"/>
      <c r="C30" s="43"/>
      <c r="D30" s="43"/>
      <c r="E30" s="43"/>
      <c r="F30" s="33"/>
      <c r="G30" s="33"/>
      <c r="H30" s="33"/>
      <c r="I30" s="33"/>
      <c r="J30" s="33"/>
      <c r="K30" s="33"/>
    </row>
    <row r="31" spans="2:11" ht="15" customHeight="1">
      <c r="B31" s="9"/>
      <c r="C31" s="43"/>
      <c r="D31" s="43"/>
      <c r="E31" s="43"/>
      <c r="F31" s="33"/>
      <c r="G31" s="33"/>
      <c r="H31" s="33"/>
      <c r="I31" s="33"/>
      <c r="J31" s="33"/>
      <c r="K31" s="33"/>
    </row>
    <row r="32" spans="2:11" ht="15" customHeight="1">
      <c r="B32" s="6" t="s">
        <v>204</v>
      </c>
      <c r="C32" s="6"/>
      <c r="D32" s="6"/>
      <c r="E32" s="6"/>
      <c r="F32" s="6"/>
      <c r="G32" s="6"/>
      <c r="H32" s="6"/>
      <c r="I32" s="6"/>
      <c r="J32" s="6"/>
      <c r="K32" s="6"/>
    </row>
    <row r="33" spans="2:11" ht="15" customHeight="1">
      <c r="B33" s="9"/>
      <c r="C33" s="43"/>
      <c r="D33" s="43"/>
      <c r="E33" s="43"/>
      <c r="F33" s="33"/>
      <c r="G33" s="33"/>
      <c r="H33" s="33"/>
      <c r="I33" s="33"/>
      <c r="J33" s="33"/>
      <c r="K33" s="33"/>
    </row>
    <row r="34" spans="2:11" ht="15" customHeight="1">
      <c r="B34" s="20" t="s">
        <v>205</v>
      </c>
      <c r="C34" s="41">
        <v>8656</v>
      </c>
      <c r="D34" s="41">
        <v>7052</v>
      </c>
      <c r="E34" s="41">
        <v>9646</v>
      </c>
      <c r="F34" s="39">
        <f>F79</f>
        <v>54251.716164383572</v>
      </c>
      <c r="G34" s="39">
        <f>G79</f>
        <v>52601.211364383569</v>
      </c>
      <c r="H34" s="39">
        <f>H79</f>
        <v>51735.999476383578</v>
      </c>
      <c r="I34" s="39">
        <f>I79</f>
        <v>51881.20714518358</v>
      </c>
      <c r="J34" s="39">
        <f>J79</f>
        <v>51671.550596143577</v>
      </c>
      <c r="K34" s="39">
        <f>K79</f>
        <v>50840.559062049178</v>
      </c>
    </row>
    <row r="35" spans="2:11" ht="15" customHeight="1">
      <c r="B35" s="9" t="s">
        <v>206</v>
      </c>
      <c r="C35" s="43">
        <v>1861</v>
      </c>
      <c r="D35" s="43">
        <v>2111</v>
      </c>
      <c r="E35" s="43">
        <v>2294</v>
      </c>
      <c r="F35" s="16">
        <f>F7*Assumptions!F$23</f>
        <v>5158.3599999999997</v>
      </c>
      <c r="G35" s="16">
        <f>G7*Assumptions!G$23</f>
        <v>6086.8648000000003</v>
      </c>
      <c r="H35" s="16">
        <f>H7*Assumptions!H$23</f>
        <v>6452.0766880000001</v>
      </c>
      <c r="I35" s="16">
        <f>I7*Assumptions!I$23</f>
        <v>5806.8690191999995</v>
      </c>
      <c r="J35" s="16">
        <f>J7*Assumptions!J$23</f>
        <v>5516.5255682400002</v>
      </c>
      <c r="K35" s="16">
        <f>K7*Assumptions!K$23</f>
        <v>5847.5171023344001</v>
      </c>
    </row>
    <row r="36" spans="2:11" ht="15" customHeight="1">
      <c r="B36" s="9" t="s">
        <v>207</v>
      </c>
      <c r="C36" s="43">
        <v>2443</v>
      </c>
      <c r="D36" s="43">
        <v>6615</v>
      </c>
      <c r="E36" s="43">
        <v>9265</v>
      </c>
      <c r="F36" s="16">
        <f>F7*Assumptions!F$18/365</f>
        <v>28264.986301369863</v>
      </c>
      <c r="G36" s="16">
        <f>G7*Assumptions!G$18/365</f>
        <v>29183.598356164384</v>
      </c>
      <c r="H36" s="16">
        <f>H7*Assumptions!H$18/365</f>
        <v>28724.998953424656</v>
      </c>
      <c r="I36" s="16">
        <f>I7*Assumptions!I$18/365</f>
        <v>23863.845284383562</v>
      </c>
      <c r="J36" s="16">
        <f>J7*Assumptions!J$18/365</f>
        <v>20781.431935150686</v>
      </c>
      <c r="K36" s="16">
        <f>K7*Assumptions!K$18/365</f>
        <v>22028.317851259726</v>
      </c>
    </row>
    <row r="37" spans="2:11" ht="15" customHeight="1">
      <c r="B37" s="9" t="s">
        <v>208</v>
      </c>
      <c r="C37" s="43">
        <v>8387</v>
      </c>
      <c r="D37" s="43">
        <v>8875</v>
      </c>
      <c r="E37" s="43">
        <v>8355</v>
      </c>
      <c r="F37" s="16">
        <f>F9*Assumptions!F$19/365</f>
        <v>8523.9561643835623</v>
      </c>
      <c r="G37" s="16">
        <f>G9*Assumptions!G$19/365</f>
        <v>8630.0069424657559</v>
      </c>
      <c r="H37" s="16">
        <f>H9*Assumptions!H$19/365</f>
        <v>10694.538071890411</v>
      </c>
      <c r="I37" s="16">
        <f>I9*Assumptions!I$19/365</f>
        <v>13363.753359254792</v>
      </c>
      <c r="J37" s="16">
        <f>J9*Assumptions!J$19/365</f>
        <v>16662.929969820823</v>
      </c>
      <c r="K37" s="16">
        <f>K9*Assumptions!K$19/365</f>
        <v>16821.624540961977</v>
      </c>
    </row>
    <row r="38" spans="2:11" ht="15" customHeight="1">
      <c r="B38" s="9" t="s">
        <v>209</v>
      </c>
      <c r="C38" s="43">
        <v>820</v>
      </c>
      <c r="D38" s="43">
        <v>776</v>
      </c>
      <c r="E38" s="43">
        <v>914</v>
      </c>
      <c r="F38" s="16">
        <f>F7*Assumptions!F$21</f>
        <v>1289.5899999999999</v>
      </c>
      <c r="G38" s="16">
        <f>G7*Assumptions!G$21</f>
        <v>1521.7162000000001</v>
      </c>
      <c r="H38" s="16">
        <f>H7*Assumptions!H$21</f>
        <v>1613.019172</v>
      </c>
      <c r="I38" s="16">
        <f>I7*Assumptions!I$21</f>
        <v>1451.7172547999999</v>
      </c>
      <c r="J38" s="16">
        <f>J7*Assumptions!J$21</f>
        <v>1379.1313920600001</v>
      </c>
      <c r="K38" s="16">
        <f>K7*Assumptions!K$21</f>
        <v>1461.8792755836</v>
      </c>
    </row>
    <row r="39" spans="2:11" ht="15" customHeight="1">
      <c r="B39" s="9" t="s">
        <v>210</v>
      </c>
      <c r="C39" s="43">
        <v>37928</v>
      </c>
      <c r="D39" s="43">
        <v>39749</v>
      </c>
      <c r="E39" s="43">
        <v>46590</v>
      </c>
      <c r="F39" s="16">
        <f>E39+Assumptions!F$27-Assumptions!F$30-F17</f>
        <v>63841</v>
      </c>
      <c r="G39" s="16">
        <f>F39+Assumptions!G$27-Assumptions!G$30-G17</f>
        <v>96072.8</v>
      </c>
      <c r="H39" s="16">
        <f>G39+Assumptions!H$27-Assumptions!H$30-H17</f>
        <v>128779.696</v>
      </c>
      <c r="I39" s="16">
        <f>H39+Assumptions!I$27-Assumptions!I$30-I17</f>
        <v>148174.94464</v>
      </c>
      <c r="J39" s="16">
        <f>I39+Assumptions!J$27-Assumptions!J$30-J17</f>
        <v>155948.70294399999</v>
      </c>
      <c r="K39" s="16">
        <f>J39+Assumptions!K$27-Assumptions!K$30-K17</f>
        <v>162115.88453183998</v>
      </c>
    </row>
    <row r="40" spans="2:11" ht="15" customHeight="1">
      <c r="B40" s="9" t="s">
        <v>211</v>
      </c>
      <c r="C40" s="43">
        <v>4159</v>
      </c>
      <c r="D40" s="43">
        <v>4238</v>
      </c>
      <c r="E40" s="43">
        <v>5734</v>
      </c>
      <c r="F40" s="16">
        <f>F7*Assumptions!F$24</f>
        <v>6963.7860000000001</v>
      </c>
      <c r="G40" s="16">
        <f>G7*Assumptions!G$24</f>
        <v>7608.5810000000001</v>
      </c>
      <c r="H40" s="16">
        <f>H7*Assumptions!H$24</f>
        <v>8065.0958600000004</v>
      </c>
      <c r="I40" s="16">
        <f>I7*Assumptions!I$24</f>
        <v>7258.5862740000002</v>
      </c>
      <c r="J40" s="16">
        <f>J7*Assumptions!J$24</f>
        <v>6895.6569602999998</v>
      </c>
      <c r="K40" s="16">
        <f>K7*Assumptions!K$24</f>
        <v>7309.3963779180012</v>
      </c>
    </row>
    <row r="41" spans="2:11" ht="15" customHeight="1">
      <c r="B41" s="44" t="s">
        <v>212</v>
      </c>
      <c r="C41" s="45">
        <f>SUM(C34:C40)</f>
        <v>64254</v>
      </c>
      <c r="D41" s="45">
        <f>SUM(D34:D40)</f>
        <v>69416</v>
      </c>
      <c r="E41" s="45">
        <f>SUM(E34:E40)</f>
        <v>82798</v>
      </c>
      <c r="F41" s="45">
        <f>SUM(F34:F40)</f>
        <v>168293.39463013699</v>
      </c>
      <c r="G41" s="45">
        <f>SUM(G34:G40)</f>
        <v>201704.77866301371</v>
      </c>
      <c r="H41" s="45">
        <f>SUM(H34:H40)</f>
        <v>236065.42422169866</v>
      </c>
      <c r="I41" s="45">
        <f>SUM(I34:I40)</f>
        <v>251800.92297682192</v>
      </c>
      <c r="J41" s="45">
        <f>SUM(J34:J40)</f>
        <v>258855.92936571507</v>
      </c>
      <c r="K41" s="45">
        <f>SUM(K34:K40)</f>
        <v>266425.17874194687</v>
      </c>
    </row>
    <row r="42" spans="2:11" ht="15" customHeight="1">
      <c r="B42" s="9"/>
      <c r="C42" s="43"/>
      <c r="D42" s="43"/>
      <c r="E42" s="43"/>
      <c r="F42" s="33"/>
      <c r="G42" s="33"/>
      <c r="H42" s="33"/>
      <c r="I42" s="33"/>
      <c r="J42" s="33"/>
      <c r="K42" s="33"/>
    </row>
    <row r="43" spans="2:11" ht="15" customHeight="1">
      <c r="B43" s="9"/>
      <c r="C43" s="43"/>
      <c r="D43" s="43"/>
      <c r="E43" s="43"/>
      <c r="F43" s="33"/>
      <c r="G43" s="33"/>
      <c r="H43" s="33"/>
      <c r="I43" s="33"/>
      <c r="J43" s="33"/>
      <c r="K43" s="33"/>
    </row>
    <row r="44" spans="2:11" ht="15" customHeight="1">
      <c r="B44" s="9" t="s">
        <v>213</v>
      </c>
      <c r="C44" s="43">
        <v>3958</v>
      </c>
      <c r="D44" s="43">
        <v>7299</v>
      </c>
      <c r="E44" s="43">
        <v>9649</v>
      </c>
      <c r="F44" s="16">
        <f>F9*Assumptions!F$20/365</f>
        <v>13973.698630136987</v>
      </c>
      <c r="G44" s="16">
        <f>G9*Assumptions!G$20/365</f>
        <v>13507.836953424659</v>
      </c>
      <c r="H44" s="16">
        <f>H9*Assumptions!H$20/365</f>
        <v>16041.807107835615</v>
      </c>
      <c r="I44" s="16">
        <f>I9*Assumptions!I$20/365</f>
        <v>19091.076227506845</v>
      </c>
      <c r="J44" s="16">
        <f>J9*Assumptions!J$20/365</f>
        <v>23010.71281546685</v>
      </c>
      <c r="K44" s="16">
        <f>K9*Assumptions!K$20/365</f>
        <v>23229.862461328441</v>
      </c>
    </row>
    <row r="45" spans="2:11" ht="15" customHeight="1">
      <c r="B45" s="9" t="s">
        <v>214</v>
      </c>
      <c r="C45" s="43">
        <v>13330</v>
      </c>
      <c r="D45" s="43">
        <v>13397</v>
      </c>
      <c r="E45" s="43">
        <v>14577</v>
      </c>
      <c r="F45" s="16">
        <f>Assumptions!F$28</f>
        <v>5722</v>
      </c>
      <c r="G45" s="16">
        <f>Assumptions!G$28</f>
        <v>5000</v>
      </c>
      <c r="H45" s="16">
        <f>Assumptions!H$28</f>
        <v>4500</v>
      </c>
      <c r="I45" s="16">
        <f>Assumptions!I$28</f>
        <v>4000</v>
      </c>
      <c r="J45" s="16">
        <f>Assumptions!J$28</f>
        <v>3500</v>
      </c>
      <c r="K45" s="16">
        <f>Assumptions!K$28</f>
        <v>3000</v>
      </c>
    </row>
    <row r="46" spans="2:11" ht="15" customHeight="1">
      <c r="B46" s="9" t="s">
        <v>215</v>
      </c>
      <c r="C46" s="43">
        <v>529</v>
      </c>
      <c r="D46" s="43">
        <v>1518</v>
      </c>
      <c r="E46" s="43">
        <v>1245</v>
      </c>
      <c r="F46" s="16">
        <f>F7*Assumptions!F$22</f>
        <v>3352.9339999999997</v>
      </c>
      <c r="G46" s="16">
        <f>G7*Assumptions!G$22</f>
        <v>3804.2905000000001</v>
      </c>
      <c r="H46" s="16">
        <f>H7*Assumptions!H$22</f>
        <v>4032.5479300000002</v>
      </c>
      <c r="I46" s="16">
        <f>I7*Assumptions!I$22</f>
        <v>3629.2931370000001</v>
      </c>
      <c r="J46" s="16">
        <f>J7*Assumptions!J$22</f>
        <v>3447.8284801499999</v>
      </c>
      <c r="K46" s="16">
        <f>K7*Assumptions!K$22</f>
        <v>3654.6981889590006</v>
      </c>
    </row>
    <row r="47" spans="2:11" ht="15" customHeight="1">
      <c r="B47" s="9" t="s">
        <v>216</v>
      </c>
      <c r="C47" s="43">
        <v>2317</v>
      </c>
      <c r="D47" s="43">
        <v>2071</v>
      </c>
      <c r="E47" s="43">
        <v>3162</v>
      </c>
      <c r="F47" s="16">
        <f>F7*Assumptions!F$25</f>
        <v>8769.2120000000014</v>
      </c>
      <c r="G47" s="16">
        <f>G7*Assumptions!G$25</f>
        <v>6847.7228999999998</v>
      </c>
      <c r="H47" s="16">
        <f>H7*Assumptions!H$25</f>
        <v>6452.0766880000001</v>
      </c>
      <c r="I47" s="16">
        <f>I7*Assumptions!I$25</f>
        <v>5081.0103918000004</v>
      </c>
      <c r="J47" s="16">
        <f>J7*Assumptions!J$25</f>
        <v>4137.3941761799997</v>
      </c>
      <c r="K47" s="16">
        <f>K7*Assumptions!K$25</f>
        <v>4385.6378267507998</v>
      </c>
    </row>
    <row r="48" spans="2:11" ht="15" customHeight="1">
      <c r="B48" s="44" t="s">
        <v>217</v>
      </c>
      <c r="C48" s="45">
        <f>SUM(C44:C47)</f>
        <v>20134</v>
      </c>
      <c r="D48" s="45">
        <f>SUM(D44:D47)</f>
        <v>24285</v>
      </c>
      <c r="E48" s="45">
        <f>SUM(E44:E47)</f>
        <v>28633</v>
      </c>
      <c r="F48" s="45">
        <f>SUM(F44:F47)</f>
        <v>31817.844630136991</v>
      </c>
      <c r="G48" s="45">
        <f>SUM(G44:G47)</f>
        <v>29159.850353424659</v>
      </c>
      <c r="H48" s="45">
        <f>SUM(H44:H47)</f>
        <v>31026.431725835617</v>
      </c>
      <c r="I48" s="45">
        <f>SUM(I44:I47)</f>
        <v>31801.379756306844</v>
      </c>
      <c r="J48" s="45">
        <f>SUM(J44:J47)</f>
        <v>34095.935471796853</v>
      </c>
      <c r="K48" s="45">
        <f>SUM(K44:K47)</f>
        <v>34270.198477038241</v>
      </c>
    </row>
    <row r="49" spans="2:11" ht="15" customHeight="1">
      <c r="B49" s="9"/>
      <c r="C49" s="43"/>
      <c r="D49" s="43"/>
      <c r="E49" s="43"/>
      <c r="F49" s="33"/>
      <c r="G49" s="33"/>
      <c r="H49" s="33"/>
      <c r="I49" s="33"/>
      <c r="J49" s="33"/>
      <c r="K49" s="33"/>
    </row>
    <row r="50" spans="2:11" ht="15" customHeight="1">
      <c r="B50" s="20" t="s">
        <v>218</v>
      </c>
      <c r="C50" s="41">
        <v>44120</v>
      </c>
      <c r="D50" s="41">
        <v>45131</v>
      </c>
      <c r="E50" s="41">
        <v>54165</v>
      </c>
      <c r="F50" s="39">
        <f>E50+F26+F64-Assumptions!F$31-Assumptions!F$32+F74+F76</f>
        <v>136475.54999999999</v>
      </c>
      <c r="G50" s="39">
        <f>F50+G26+G64-Assumptions!G$31-Assumptions!G$32+G74+G76</f>
        <v>172544.92830958904</v>
      </c>
      <c r="H50" s="39">
        <f>G50+H26+H64-Assumptions!H$31-Assumptions!H$32+H74+H76</f>
        <v>205038.992495863</v>
      </c>
      <c r="I50" s="39">
        <f>H50+I26+I64-Assumptions!I$31-Assumptions!I$32+I74+I76</f>
        <v>219999.54322051507</v>
      </c>
      <c r="J50" s="39">
        <f>I50+J26+J64-Assumptions!J$31-Assumptions!J$32+J74+J76</f>
        <v>224759.99389391823</v>
      </c>
      <c r="K50" s="39">
        <f>J50+K26+K64-Assumptions!K$31-Assumptions!K$32+K74+K76</f>
        <v>232154.98026490869</v>
      </c>
    </row>
    <row r="51" spans="2:11" ht="15" customHeight="1">
      <c r="B51" s="44" t="s">
        <v>219</v>
      </c>
      <c r="C51" s="45">
        <f>C48+C50</f>
        <v>64254</v>
      </c>
      <c r="D51" s="45">
        <f>D48+D50</f>
        <v>69416</v>
      </c>
      <c r="E51" s="45">
        <f>E48+E50</f>
        <v>82798</v>
      </c>
      <c r="F51" s="45">
        <f>F48+F50</f>
        <v>168293.39463013699</v>
      </c>
      <c r="G51" s="45">
        <f>G48+G50</f>
        <v>201704.77866301371</v>
      </c>
      <c r="H51" s="45">
        <f>H48+H50</f>
        <v>236065.4242216986</v>
      </c>
      <c r="I51" s="45">
        <f>I48+I50</f>
        <v>251800.92297682192</v>
      </c>
      <c r="J51" s="45">
        <f>J48+J50</f>
        <v>258855.92936571507</v>
      </c>
      <c r="K51" s="45">
        <f>K48+K50</f>
        <v>266425.17874194693</v>
      </c>
    </row>
    <row r="52" spans="2:11" ht="15" customHeight="1">
      <c r="B52" s="20" t="s">
        <v>220</v>
      </c>
      <c r="C52" s="39">
        <f>C41-C51</f>
        <v>0</v>
      </c>
      <c r="D52" s="39">
        <f>D41-D51</f>
        <v>0</v>
      </c>
      <c r="E52" s="39">
        <f>E41-E51</f>
        <v>0</v>
      </c>
      <c r="F52" s="39">
        <f>F41-F51</f>
        <v>0</v>
      </c>
      <c r="G52" s="39">
        <f>G41-G51</f>
        <v>0</v>
      </c>
      <c r="H52" s="39">
        <f>H41-H51</f>
        <v>0</v>
      </c>
      <c r="I52" s="39">
        <f>I41-I51</f>
        <v>0</v>
      </c>
      <c r="J52" s="39">
        <f>J41-J51</f>
        <v>0</v>
      </c>
      <c r="K52" s="39">
        <f>K41-K51</f>
        <v>0</v>
      </c>
    </row>
    <row r="53" spans="2:11" ht="15" customHeight="1">
      <c r="B53" s="20" t="s">
        <v>44</v>
      </c>
      <c r="C53" s="39">
        <f>C45-SUM(C34:C35)</f>
        <v>2813</v>
      </c>
      <c r="D53" s="39">
        <f>D45-SUM(D34:D35)</f>
        <v>4234</v>
      </c>
      <c r="E53" s="39">
        <f>E45-SUM(E34:E35)</f>
        <v>2637</v>
      </c>
      <c r="F53" s="39">
        <f>F45-SUM(F34:F35)</f>
        <v>-53688.076164383572</v>
      </c>
      <c r="G53" s="39">
        <f>G45-SUM(G34:G35)</f>
        <v>-53688.076164383572</v>
      </c>
      <c r="H53" s="39">
        <f>H45-SUM(H34:H35)</f>
        <v>-53688.076164383579</v>
      </c>
      <c r="I53" s="39">
        <f>I45-SUM(I34:I35)</f>
        <v>-53688.076164383579</v>
      </c>
      <c r="J53" s="39">
        <f>J45-SUM(J34:J35)</f>
        <v>-53688.076164383579</v>
      </c>
      <c r="K53" s="39">
        <f>K45-SUM(K34:K35)</f>
        <v>-53688.076164383579</v>
      </c>
    </row>
    <row r="54" spans="2:11" ht="15" customHeight="1">
      <c r="B54" s="20" t="s">
        <v>221</v>
      </c>
      <c r="C54" s="39">
        <f>SUM(C36:C38)-SUM(C44,C46)</f>
        <v>7163</v>
      </c>
      <c r="D54" s="39">
        <f>SUM(D36:D38)-SUM(D44,D46)</f>
        <v>7449</v>
      </c>
      <c r="E54" s="39">
        <f>SUM(E36:E38)-SUM(E44,E46)</f>
        <v>7640</v>
      </c>
      <c r="F54" s="39">
        <f>SUM(F36:F38)-SUM(F44,F46)</f>
        <v>20751.899835616434</v>
      </c>
      <c r="G54" s="39">
        <f>SUM(G36:G38)-SUM(G44,G46)</f>
        <v>22023.194045205481</v>
      </c>
      <c r="H54" s="39">
        <f>SUM(H36:H38)-SUM(H44,H46)</f>
        <v>20958.201159479453</v>
      </c>
      <c r="I54" s="39">
        <f>SUM(I36:I38)-SUM(I44,I46)</f>
        <v>15958.94653393151</v>
      </c>
      <c r="J54" s="39">
        <f>SUM(J36:J38)-SUM(J44,J46)</f>
        <v>12364.952001414655</v>
      </c>
      <c r="K54" s="39">
        <f>SUM(K36:K38)-SUM(K44,K46)</f>
        <v>13427.261017517856</v>
      </c>
    </row>
    <row r="55" spans="2:11" ht="15" customHeight="1">
      <c r="B55" s="8" t="s">
        <v>222</v>
      </c>
      <c r="C55" s="42">
        <f>C45/(C45+C50)</f>
        <v>0.2320278503046127</v>
      </c>
      <c r="D55" s="42">
        <f>D45/(D45+D50)</f>
        <v>0.22889898851831603</v>
      </c>
      <c r="E55" s="42">
        <f>E45/(E45+E50)</f>
        <v>0.21205376625643713</v>
      </c>
      <c r="F55" s="42">
        <f>F45/(F45+F50)</f>
        <v>4.0239793160993284E-2</v>
      </c>
      <c r="G55" s="42">
        <f>G45/(G45+G50)</f>
        <v>2.8161885825774696E-2</v>
      </c>
      <c r="H55" s="42">
        <f>H45/(H45+H50)</f>
        <v>2.1475716506983038E-2</v>
      </c>
      <c r="I55" s="42">
        <f>I45/(I45+I50)</f>
        <v>1.7857179271397992E-2</v>
      </c>
      <c r="J55" s="42">
        <f>J45/(J45+J50)</f>
        <v>1.5333392156431027E-2</v>
      </c>
      <c r="K55" s="42">
        <f>K45/(K45+K50)</f>
        <v>1.2757543967899024E-2</v>
      </c>
    </row>
    <row r="56" spans="2:11" ht="15" customHeight="1">
      <c r="B56" s="9"/>
      <c r="C56" s="43"/>
      <c r="D56" s="43"/>
      <c r="E56" s="43"/>
      <c r="F56" s="33"/>
      <c r="G56" s="33"/>
      <c r="H56" s="33"/>
      <c r="I56" s="33"/>
      <c r="J56" s="33"/>
      <c r="K56" s="33"/>
    </row>
    <row r="57" spans="2:11" ht="15" customHeight="1">
      <c r="B57" s="9"/>
      <c r="C57" s="43"/>
      <c r="D57" s="43"/>
      <c r="E57" s="43"/>
      <c r="F57" s="33"/>
      <c r="G57" s="33"/>
      <c r="H57" s="33"/>
      <c r="I57" s="33"/>
      <c r="J57" s="33"/>
      <c r="K57" s="33"/>
    </row>
    <row r="58" spans="2:11" ht="15" customHeight="1">
      <c r="B58" s="9"/>
      <c r="C58" s="43"/>
      <c r="D58" s="43"/>
      <c r="E58" s="43"/>
      <c r="F58" s="33"/>
      <c r="G58" s="33"/>
      <c r="H58" s="33"/>
      <c r="I58" s="33"/>
      <c r="J58" s="33"/>
      <c r="K58" s="33"/>
    </row>
    <row r="59" spans="2:11" ht="15" customHeight="1">
      <c r="B59" s="9"/>
      <c r="C59" s="43"/>
      <c r="D59" s="43"/>
      <c r="E59" s="43"/>
      <c r="F59" s="33"/>
      <c r="G59" s="33"/>
      <c r="H59" s="33"/>
      <c r="I59" s="33"/>
      <c r="J59" s="33"/>
      <c r="K59" s="33"/>
    </row>
    <row r="60" spans="2:11" ht="15" customHeight="1">
      <c r="B60" s="6" t="s">
        <v>223</v>
      </c>
      <c r="C60" s="6"/>
      <c r="D60" s="6"/>
      <c r="E60" s="6"/>
      <c r="F60" s="6"/>
      <c r="G60" s="6"/>
      <c r="H60" s="6"/>
      <c r="I60" s="6"/>
      <c r="J60" s="6"/>
      <c r="K60" s="6"/>
    </row>
    <row r="61" spans="2:11" ht="15" customHeight="1">
      <c r="B61" s="9"/>
      <c r="C61" s="43"/>
      <c r="D61" s="43"/>
      <c r="E61" s="43"/>
      <c r="F61" s="33"/>
      <c r="G61" s="33"/>
      <c r="H61" s="33"/>
      <c r="I61" s="33"/>
      <c r="J61" s="33"/>
      <c r="K61" s="33"/>
    </row>
    <row r="62" spans="2:11" ht="15" customHeight="1">
      <c r="B62" s="20" t="s">
        <v>203</v>
      </c>
      <c r="C62" s="39">
        <f>C26</f>
        <v>-5833</v>
      </c>
      <c r="D62" s="39">
        <f>D26</f>
        <v>778</v>
      </c>
      <c r="E62" s="39">
        <f>E26</f>
        <v>8539</v>
      </c>
      <c r="F62" s="39">
        <f>F26</f>
        <v>82419.75</v>
      </c>
      <c r="G62" s="39">
        <f>G26</f>
        <v>100579.74528479041</v>
      </c>
      <c r="H62" s="39">
        <f>H26</f>
        <v>101042.3763811244</v>
      </c>
      <c r="I62" s="39">
        <f>I26</f>
        <v>78253.4031405032</v>
      </c>
      <c r="J62" s="39">
        <f>J26</f>
        <v>61635.256532504143</v>
      </c>
      <c r="K62" s="39">
        <f>K26</f>
        <v>68104.310192266916</v>
      </c>
    </row>
    <row r="63" spans="2:11" ht="15" customHeight="1">
      <c r="B63" s="9" t="s">
        <v>159</v>
      </c>
      <c r="C63" s="43">
        <v>7756</v>
      </c>
      <c r="D63" s="43">
        <v>7780</v>
      </c>
      <c r="E63" s="43">
        <v>8352</v>
      </c>
      <c r="F63" s="33">
        <f>F17</f>
        <v>9362</v>
      </c>
      <c r="G63" s="33">
        <f>G17</f>
        <v>12768.2</v>
      </c>
      <c r="H63" s="33">
        <f>H17</f>
        <v>17293.103999999999</v>
      </c>
      <c r="I63" s="33">
        <f>I17</f>
        <v>20604.751359999998</v>
      </c>
      <c r="J63" s="33">
        <f>J17</f>
        <v>22226.241696000001</v>
      </c>
      <c r="K63" s="33">
        <f>K17</f>
        <v>21832.818412159999</v>
      </c>
    </row>
    <row r="64" spans="2:11" ht="15" customHeight="1">
      <c r="B64" s="9" t="s">
        <v>173</v>
      </c>
      <c r="C64" s="43">
        <v>596</v>
      </c>
      <c r="D64" s="43">
        <v>833</v>
      </c>
      <c r="E64" s="43">
        <v>972</v>
      </c>
      <c r="F64" s="16">
        <f>'FY26 Bridge'!E27</f>
        <v>1318</v>
      </c>
      <c r="G64" s="16">
        <f>G7*Assumptions!G$29</f>
        <v>1065.2013400000001</v>
      </c>
      <c r="H64" s="16">
        <f>H7*Assumptions!H$29</f>
        <v>1129.1134204</v>
      </c>
      <c r="I64" s="16">
        <f>I7*Assumptions!I$29</f>
        <v>1016.20207836</v>
      </c>
      <c r="J64" s="16">
        <f>J7*Assumptions!J$29</f>
        <v>965.39197444199999</v>
      </c>
      <c r="K64" s="16">
        <f>K7*Assumptions!K$29</f>
        <v>1023.3154929085201</v>
      </c>
    </row>
    <row r="65" spans="2:11" ht="15" customHeight="1">
      <c r="B65" s="9" t="s">
        <v>224</v>
      </c>
      <c r="C65" s="43">
        <v>-960</v>
      </c>
      <c r="D65" s="43">
        <v>-884</v>
      </c>
      <c r="E65" s="43">
        <v>-338</v>
      </c>
      <c r="F65" s="33">
        <f>E36-F36+E37-F37+E38-F38+F44-E44+F46-E46+E40-F40+F47-E47</f>
        <v>-8734.473835616438</v>
      </c>
      <c r="G65" s="33">
        <f>F36-G36+F37-G37+F38-G38+G44-F44+G46-F46+F40-G40+G47-F47</f>
        <v>-3837.5783095890447</v>
      </c>
      <c r="H65" s="33">
        <f>G36-H36+G37-H37+G38-H38+H44-G44+H46-G46+G40-H40+H47-G47</f>
        <v>212.8318137260294</v>
      </c>
      <c r="I65" s="33">
        <f>H36-I36+H37-I37+H38-I38+I44-H44+I46-H46+H40-I40+I47-H47</f>
        <v>4434.6979153479451</v>
      </c>
      <c r="J65" s="33">
        <f>I36-J36+I37-J37+I38-J38+J44-I44+J46-I46+I40-J40+J47-I47</f>
        <v>3013.3076305968507</v>
      </c>
      <c r="K65" s="33">
        <f>J36-K36+J37-K37+J38-K38+K44-J44+K46-J46+J40-K40+K47-J47</f>
        <v>-1227.8047831504036</v>
      </c>
    </row>
    <row r="66" spans="2:11" ht="15" customHeight="1">
      <c r="B66" s="44" t="s">
        <v>225</v>
      </c>
      <c r="C66" s="45">
        <f>SUM(C62:C65)</f>
        <v>1559</v>
      </c>
      <c r="D66" s="45">
        <f>SUM(D62:D65)</f>
        <v>8507</v>
      </c>
      <c r="E66" s="45">
        <f>SUM(E62:E65)</f>
        <v>17525</v>
      </c>
      <c r="F66" s="45">
        <f>SUM(F62:F65)</f>
        <v>84365.276164383569</v>
      </c>
      <c r="G66" s="45">
        <f>SUM(G62:G65)</f>
        <v>110575.56831520135</v>
      </c>
      <c r="H66" s="45">
        <f>SUM(H62:H65)</f>
        <v>119677.42561525042</v>
      </c>
      <c r="I66" s="45">
        <f>SUM(I62:I65)</f>
        <v>104309.05449421114</v>
      </c>
      <c r="J66" s="45">
        <f>SUM(J62:J65)</f>
        <v>87840.197833543003</v>
      </c>
      <c r="K66" s="45">
        <f>SUM(K62:K65)</f>
        <v>89732.639314185028</v>
      </c>
    </row>
    <row r="67" spans="2:11" ht="15" customHeight="1">
      <c r="B67" s="9" t="s">
        <v>75</v>
      </c>
      <c r="C67" s="43">
        <v>-7676</v>
      </c>
      <c r="D67" s="43">
        <v>-8386</v>
      </c>
      <c r="E67" s="43">
        <v>-15857</v>
      </c>
      <c r="F67" s="16">
        <f>-Assumptions!F$27</f>
        <v>-29602</v>
      </c>
      <c r="G67" s="16">
        <f>-Assumptions!G$27</f>
        <v>-45000</v>
      </c>
      <c r="H67" s="16">
        <f>-Assumptions!H$27</f>
        <v>-50000</v>
      </c>
      <c r="I67" s="16">
        <f>-Assumptions!I$27</f>
        <v>-40000</v>
      </c>
      <c r="J67" s="16">
        <f>-Assumptions!J$27</f>
        <v>-30000</v>
      </c>
      <c r="K67" s="16">
        <f>-Assumptions!K$27</f>
        <v>-28000</v>
      </c>
    </row>
    <row r="68" spans="2:11" ht="15" customHeight="1">
      <c r="B68" s="9" t="s">
        <v>80</v>
      </c>
      <c r="C68" s="43">
        <v>710</v>
      </c>
      <c r="D68" s="43">
        <v>315</v>
      </c>
      <c r="E68" s="43">
        <v>2005</v>
      </c>
      <c r="F68" s="16">
        <f>Assumptions!F$30</f>
        <v>2989</v>
      </c>
      <c r="G68" s="16">
        <f>Assumptions!G$30</f>
        <v>0</v>
      </c>
      <c r="H68" s="16">
        <f>Assumptions!H$30</f>
        <v>0</v>
      </c>
      <c r="I68" s="16">
        <f>Assumptions!I$30</f>
        <v>0</v>
      </c>
      <c r="J68" s="16">
        <f>Assumptions!J$30</f>
        <v>0</v>
      </c>
      <c r="K68" s="16">
        <f>Assumptions!K$30</f>
        <v>0</v>
      </c>
    </row>
    <row r="69" spans="2:11" ht="15" customHeight="1">
      <c r="B69" s="9" t="s">
        <v>226</v>
      </c>
      <c r="C69" s="43">
        <v>775</v>
      </c>
      <c r="D69" s="43">
        <v>-238</v>
      </c>
      <c r="E69" s="43">
        <v>-235</v>
      </c>
      <c r="F69" s="33">
        <f>E35-F35</f>
        <v>-2864.3599999999997</v>
      </c>
      <c r="G69" s="33">
        <f>F35-G35</f>
        <v>-928.50480000000061</v>
      </c>
      <c r="H69" s="33">
        <f>G35-H35</f>
        <v>-365.21188799999982</v>
      </c>
      <c r="I69" s="33">
        <f>H35-I35</f>
        <v>645.20766880000065</v>
      </c>
      <c r="J69" s="33">
        <f>I35-J35</f>
        <v>290.34345095999925</v>
      </c>
      <c r="K69" s="33">
        <f>J35-K35</f>
        <v>-330.99153409439987</v>
      </c>
    </row>
    <row r="70" spans="2:11" ht="15" customHeight="1">
      <c r="B70" s="44" t="s">
        <v>227</v>
      </c>
      <c r="C70" s="45">
        <f>SUM(C67:C69)</f>
        <v>-6191</v>
      </c>
      <c r="D70" s="45">
        <f>SUM(D67:D69)</f>
        <v>-8309</v>
      </c>
      <c r="E70" s="45">
        <f>SUM(E67:E69)</f>
        <v>-14087</v>
      </c>
      <c r="F70" s="45">
        <f>SUM(F67:F69)</f>
        <v>-29477.360000000001</v>
      </c>
      <c r="G70" s="45">
        <f>SUM(G67:G69)</f>
        <v>-45928.504800000002</v>
      </c>
      <c r="H70" s="45">
        <f>SUM(H67:H69)</f>
        <v>-50365.211887999998</v>
      </c>
      <c r="I70" s="45">
        <f>SUM(I67:I69)</f>
        <v>-39354.792331199998</v>
      </c>
      <c r="J70" s="45">
        <f>SUM(J67:J69)</f>
        <v>-29709.656549040003</v>
      </c>
      <c r="K70" s="45">
        <f>SUM(K67:K69)</f>
        <v>-28330.991534094399</v>
      </c>
    </row>
    <row r="71" spans="2:11" ht="15" customHeight="1">
      <c r="B71" s="9" t="s">
        <v>228</v>
      </c>
      <c r="C71" s="43">
        <v>5955</v>
      </c>
      <c r="D71" s="43">
        <v>-898</v>
      </c>
      <c r="E71" s="43">
        <v>-189</v>
      </c>
      <c r="F71" s="33">
        <f>F45-E45</f>
        <v>-8855</v>
      </c>
      <c r="G71" s="33">
        <f>G45-F45</f>
        <v>-722</v>
      </c>
      <c r="H71" s="33">
        <f>H45-G45</f>
        <v>-500</v>
      </c>
      <c r="I71" s="33">
        <f>I45-H45</f>
        <v>-500</v>
      </c>
      <c r="J71" s="33">
        <f>J45-I45</f>
        <v>-500</v>
      </c>
      <c r="K71" s="33">
        <f>K45-J45</f>
        <v>-500</v>
      </c>
    </row>
    <row r="72" spans="2:11" ht="15" customHeight="1">
      <c r="B72" s="9" t="s">
        <v>82</v>
      </c>
      <c r="C72" s="43">
        <v>-504</v>
      </c>
      <c r="D72" s="43">
        <v>-513</v>
      </c>
      <c r="E72" s="43">
        <v>-522</v>
      </c>
      <c r="F72" s="16">
        <f>-Assumptions!F$31</f>
        <v>-606.20000000000005</v>
      </c>
      <c r="G72" s="16">
        <f>-Assumptions!G$31</f>
        <v>-856</v>
      </c>
      <c r="H72" s="16">
        <f>-Assumptions!H$31</f>
        <v>-1021</v>
      </c>
      <c r="I72" s="16">
        <f>-Assumptions!I$31</f>
        <v>-1126</v>
      </c>
      <c r="J72" s="16">
        <f>-Assumptions!J$31</f>
        <v>-1232</v>
      </c>
      <c r="K72" s="16">
        <f>-Assumptions!K$31</f>
        <v>-1341</v>
      </c>
    </row>
    <row r="73" spans="2:11" ht="15" customHeight="1">
      <c r="B73" s="9" t="s">
        <v>83</v>
      </c>
      <c r="C73" s="43">
        <v>-425</v>
      </c>
      <c r="D73" s="43">
        <v>-300</v>
      </c>
      <c r="E73" s="43">
        <v>0</v>
      </c>
      <c r="F73" s="16">
        <f>-Assumptions!F$32</f>
        <v>-650</v>
      </c>
      <c r="G73" s="16">
        <f>-Assumptions!G$32</f>
        <v>-64719.568315201352</v>
      </c>
      <c r="H73" s="16">
        <f>-Assumptions!H$32</f>
        <v>-68656.425615250424</v>
      </c>
      <c r="I73" s="16">
        <f>-Assumptions!I$32</f>
        <v>-63183.054494211145</v>
      </c>
      <c r="J73" s="16">
        <f>-Assumptions!J$32</f>
        <v>-56608.197833543003</v>
      </c>
      <c r="K73" s="16">
        <f>-Assumptions!K$32</f>
        <v>-60391.639314185028</v>
      </c>
    </row>
    <row r="74" spans="2:11" ht="15" customHeight="1">
      <c r="B74" s="9" t="s">
        <v>119</v>
      </c>
      <c r="C74" s="43">
        <v>-43</v>
      </c>
      <c r="D74" s="43">
        <v>-131</v>
      </c>
      <c r="E74" s="43">
        <v>-139</v>
      </c>
      <c r="F74" s="16">
        <f>Assumptions!F$58</f>
        <v>-179</v>
      </c>
      <c r="G74" s="16">
        <f>Assumptions!G$58</f>
        <v>0</v>
      </c>
      <c r="H74" s="16">
        <f>Assumptions!H$58</f>
        <v>0</v>
      </c>
      <c r="I74" s="16">
        <f>Assumptions!I$58</f>
        <v>0</v>
      </c>
      <c r="J74" s="16">
        <f>Assumptions!J$58</f>
        <v>0</v>
      </c>
      <c r="K74" s="16">
        <f>Assumptions!K$58</f>
        <v>0</v>
      </c>
    </row>
    <row r="75" spans="2:11" ht="15" customHeight="1">
      <c r="B75" s="44" t="s">
        <v>229</v>
      </c>
      <c r="C75" s="45">
        <f>SUM(C71:C74)</f>
        <v>4983</v>
      </c>
      <c r="D75" s="45">
        <f>SUM(D71:D74)</f>
        <v>-1842</v>
      </c>
      <c r="E75" s="45">
        <f>SUM(E71:E74)</f>
        <v>-850</v>
      </c>
      <c r="F75" s="45">
        <f>SUM(F71:F74)</f>
        <v>-10290.200000000001</v>
      </c>
      <c r="G75" s="45">
        <f>SUM(G71:G74)</f>
        <v>-66297.568315201352</v>
      </c>
      <c r="H75" s="45">
        <f>SUM(H71:H74)</f>
        <v>-70177.425615250424</v>
      </c>
      <c r="I75" s="45">
        <f>SUM(I71:I74)</f>
        <v>-64809.054494211145</v>
      </c>
      <c r="J75" s="45">
        <f>SUM(J71:J74)</f>
        <v>-58340.197833543003</v>
      </c>
      <c r="K75" s="45">
        <f>SUM(K71:K74)</f>
        <v>-62232.639314185028</v>
      </c>
    </row>
    <row r="76" spans="2:11" ht="15" customHeight="1">
      <c r="B76" s="9" t="s">
        <v>230</v>
      </c>
      <c r="C76" s="43">
        <v>-34</v>
      </c>
      <c r="D76" s="43">
        <v>40</v>
      </c>
      <c r="E76" s="43">
        <v>6</v>
      </c>
      <c r="F76" s="16">
        <f>Assumptions!F$59</f>
        <v>8</v>
      </c>
      <c r="G76" s="16">
        <f>Assumptions!G$59</f>
        <v>0</v>
      </c>
      <c r="H76" s="16">
        <f>Assumptions!H$59</f>
        <v>0</v>
      </c>
      <c r="I76" s="16">
        <f>Assumptions!I$59</f>
        <v>0</v>
      </c>
      <c r="J76" s="16">
        <f>Assumptions!J$59</f>
        <v>0</v>
      </c>
      <c r="K76" s="16">
        <f>Assumptions!K$59</f>
        <v>0</v>
      </c>
    </row>
    <row r="77" spans="2:11" ht="15" customHeight="1">
      <c r="B77" s="20" t="s">
        <v>231</v>
      </c>
      <c r="C77" s="39">
        <f>SUM(C66,C70,C75,C76)</f>
        <v>317</v>
      </c>
      <c r="D77" s="39">
        <f>SUM(D66,D70,D75,D76)</f>
        <v>-1604</v>
      </c>
      <c r="E77" s="39">
        <f>SUM(E66,E70,E75,E76)</f>
        <v>2594</v>
      </c>
      <c r="F77" s="39">
        <f>SUM(F66,F70,F75,F76)</f>
        <v>44605.716164383572</v>
      </c>
      <c r="G77" s="39">
        <f>SUM(G66,G70,G75,G76)</f>
        <v>-1650.5048000000024</v>
      </c>
      <c r="H77" s="39">
        <f>SUM(H66,H70,H75,H76)</f>
        <v>-865.21188799999072</v>
      </c>
      <c r="I77" s="39">
        <f>SUM(I66,I70,I75,I76)</f>
        <v>145.20766880000156</v>
      </c>
      <c r="J77" s="39">
        <f>SUM(J66,J70,J75,J76)</f>
        <v>-209.65654904000257</v>
      </c>
      <c r="K77" s="39">
        <f>SUM(K66,K70,K75,K76)</f>
        <v>-830.99153409439896</v>
      </c>
    </row>
    <row r="78" spans="2:11" ht="15" customHeight="1">
      <c r="B78" s="9" t="s">
        <v>232</v>
      </c>
      <c r="C78" s="43">
        <v>8339</v>
      </c>
      <c r="D78" s="33">
        <f>C79</f>
        <v>8656</v>
      </c>
      <c r="E78" s="33">
        <f>D79</f>
        <v>7052</v>
      </c>
      <c r="F78" s="33">
        <f>E34</f>
        <v>9646</v>
      </c>
      <c r="G78" s="33">
        <f>F34</f>
        <v>54251.716164383572</v>
      </c>
      <c r="H78" s="33">
        <f>G34</f>
        <v>52601.211364383569</v>
      </c>
      <c r="I78" s="33">
        <f>H34</f>
        <v>51735.999476383578</v>
      </c>
      <c r="J78" s="33">
        <f>I34</f>
        <v>51881.20714518358</v>
      </c>
      <c r="K78" s="33">
        <f>J34</f>
        <v>51671.550596143577</v>
      </c>
    </row>
    <row r="79" spans="2:11" ht="15" customHeight="1">
      <c r="B79" s="44" t="s">
        <v>233</v>
      </c>
      <c r="C79" s="45">
        <f>C78+C77</f>
        <v>8656</v>
      </c>
      <c r="D79" s="45">
        <f>D78+D77</f>
        <v>7052</v>
      </c>
      <c r="E79" s="45">
        <f>E78+E77</f>
        <v>9646</v>
      </c>
      <c r="F79" s="45">
        <f>F78+F77</f>
        <v>54251.716164383572</v>
      </c>
      <c r="G79" s="45">
        <f>G78+G77</f>
        <v>52601.211364383569</v>
      </c>
      <c r="H79" s="45">
        <f>H78+H77</f>
        <v>51735.999476383578</v>
      </c>
      <c r="I79" s="45">
        <f>I78+I77</f>
        <v>51881.20714518358</v>
      </c>
      <c r="J79" s="45">
        <f>J78+J77</f>
        <v>51671.550596143577</v>
      </c>
      <c r="K79" s="45">
        <f>K78+K77</f>
        <v>50840.559062049178</v>
      </c>
    </row>
    <row r="80" spans="2:11" ht="15" customHeight="1">
      <c r="B80" s="20" t="s">
        <v>234</v>
      </c>
      <c r="C80" s="39">
        <f>C79-C34</f>
        <v>0</v>
      </c>
      <c r="D80" s="39">
        <f>D79-D34</f>
        <v>0</v>
      </c>
      <c r="E80" s="39">
        <f>E79-E34</f>
        <v>0</v>
      </c>
      <c r="F80" s="39">
        <f>F79-F34</f>
        <v>0</v>
      </c>
      <c r="G80" s="39">
        <f>G79-G34</f>
        <v>0</v>
      </c>
      <c r="H80" s="39">
        <f>H79-H34</f>
        <v>0</v>
      </c>
      <c r="I80" s="39">
        <f>I79-I34</f>
        <v>0</v>
      </c>
      <c r="J80" s="39">
        <f>J79-J34</f>
        <v>0</v>
      </c>
      <c r="K80" s="39">
        <f>K79-K34</f>
        <v>0</v>
      </c>
    </row>
    <row r="81" spans="2:11" ht="15" customHeight="1">
      <c r="B81" s="44" t="s">
        <v>43</v>
      </c>
      <c r="C81" s="45">
        <f>SUM(C66:C68)</f>
        <v>-5407</v>
      </c>
      <c r="D81" s="45">
        <f>SUM(D66:D68)</f>
        <v>436</v>
      </c>
      <c r="E81" s="45">
        <f>SUM(E66:E68)</f>
        <v>3673</v>
      </c>
      <c r="F81" s="45">
        <f>SUM(F66:F68)</f>
        <v>57752.276164383569</v>
      </c>
      <c r="G81" s="45">
        <f>SUM(G66:G68)</f>
        <v>65575.568315201352</v>
      </c>
      <c r="H81" s="45">
        <f>SUM(H66:H68)</f>
        <v>69677.425615250424</v>
      </c>
      <c r="I81" s="45">
        <f>SUM(I66:I68)</f>
        <v>64309.054494211145</v>
      </c>
      <c r="J81" s="45">
        <f>SUM(J66:J68)</f>
        <v>57840.197833543003</v>
      </c>
      <c r="K81" s="45">
        <f>SUM(K66:K68)</f>
        <v>61732.639314185028</v>
      </c>
    </row>
    <row r="82" spans="2:11" ht="15" customHeight="1">
      <c r="B82" s="9"/>
      <c r="C82" s="9"/>
      <c r="D82" s="9"/>
      <c r="E82" s="9"/>
      <c r="F82" s="9"/>
      <c r="G82" s="9"/>
      <c r="H82" s="9"/>
      <c r="I82" s="9"/>
      <c r="J82" s="9"/>
      <c r="K82" s="9"/>
    </row>
    <row r="83" spans="2:11" ht="15" customHeight="1">
      <c r="B83" s="9"/>
      <c r="C83" s="9"/>
      <c r="D83" s="9"/>
      <c r="E83" s="9"/>
      <c r="F83" s="9"/>
      <c r="G83" s="9"/>
      <c r="H83" s="9"/>
      <c r="I83" s="9"/>
      <c r="J83" s="9"/>
      <c r="K83" s="9"/>
    </row>
    <row r="84" spans="2:11" ht="15" customHeight="1">
      <c r="B84" s="9"/>
      <c r="C84" s="9"/>
      <c r="D84" s="9"/>
      <c r="E84" s="9"/>
      <c r="F84" s="9"/>
      <c r="G84" s="9"/>
      <c r="H84" s="9"/>
      <c r="I84" s="9"/>
      <c r="J84" s="9"/>
      <c r="K84" s="9"/>
    </row>
  </sheetData>
  <mergeCells count="4">
    <mergeCell ref="B2:K2"/>
    <mergeCell ref="B6:K6"/>
    <mergeCell ref="B32:K32"/>
    <mergeCell ref="B60:K60"/>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B2:J69"/>
  <sheetViews>
    <sheetView showGridLines="0" zoomScaleNormal="100" workbookViewId="0"/>
  </sheetViews>
  <sheetFormatPr defaultColWidth="8.7109375" defaultRowHeight="15"/>
  <cols>
    <col min="2" max="2" width="44" customWidth="1"/>
    <col min="3" max="9" width="14" customWidth="1"/>
    <col min="10" max="10" width="10" customWidth="1"/>
  </cols>
  <sheetData>
    <row r="2" spans="2:9" ht="19.5" customHeight="1">
      <c r="B2" s="7" t="s">
        <v>235</v>
      </c>
      <c r="C2" s="7"/>
      <c r="D2" s="7"/>
      <c r="E2" s="7"/>
      <c r="F2" s="7"/>
      <c r="G2" s="7"/>
      <c r="H2" s="7"/>
      <c r="I2" s="7"/>
    </row>
    <row r="3" spans="2:9" ht="15" customHeight="1">
      <c r="B3" s="8" t="s">
        <v>236</v>
      </c>
      <c r="C3" s="8"/>
      <c r="D3" s="8"/>
      <c r="E3" s="8"/>
      <c r="F3" s="8"/>
      <c r="G3" s="8"/>
      <c r="H3" s="8"/>
      <c r="I3" s="8"/>
    </row>
    <row r="4" spans="2:9" ht="15" customHeight="1">
      <c r="B4" s="9"/>
      <c r="C4" s="9"/>
      <c r="D4" s="9"/>
      <c r="E4" s="9"/>
      <c r="F4" s="9"/>
      <c r="G4" s="9"/>
      <c r="H4" s="9"/>
      <c r="I4" s="9"/>
    </row>
    <row r="5" spans="2:9" ht="15" customHeight="1">
      <c r="B5" s="24" t="s">
        <v>48</v>
      </c>
      <c r="C5" s="25" t="s">
        <v>31</v>
      </c>
      <c r="D5" s="25" t="s">
        <v>32</v>
      </c>
      <c r="E5" s="25" t="s">
        <v>33</v>
      </c>
      <c r="F5" s="25" t="s">
        <v>34</v>
      </c>
      <c r="G5" s="26" t="s">
        <v>35</v>
      </c>
      <c r="H5" s="9"/>
      <c r="I5" s="9"/>
    </row>
    <row r="6" spans="2:9" ht="15" customHeight="1">
      <c r="B6" s="9" t="s">
        <v>158</v>
      </c>
      <c r="C6" s="16">
        <f>Statements!G15</f>
        <v>116822.152674</v>
      </c>
      <c r="D6" s="16">
        <f>Statements!H15</f>
        <v>117379.40514644</v>
      </c>
      <c r="E6" s="16">
        <f>Statements!I15</f>
        <v>90529.088009327999</v>
      </c>
      <c r="F6" s="16">
        <f>Statements!J15</f>
        <v>70956.310121486982</v>
      </c>
      <c r="G6" s="16">
        <f>Statements!K15</f>
        <v>78576.011062618505</v>
      </c>
      <c r="H6" s="9"/>
      <c r="I6" s="9"/>
    </row>
    <row r="7" spans="2:9" ht="15" customHeight="1">
      <c r="B7" s="9" t="s">
        <v>58</v>
      </c>
      <c r="C7" s="15">
        <f>Assumptions!G$12</f>
        <v>0.15</v>
      </c>
      <c r="D7" s="15">
        <f>Assumptions!H$12</f>
        <v>0.15</v>
      </c>
      <c r="E7" s="15">
        <f>Assumptions!I$12</f>
        <v>0.15</v>
      </c>
      <c r="F7" s="15">
        <f>Assumptions!J$12</f>
        <v>0.15</v>
      </c>
      <c r="G7" s="15">
        <f>Assumptions!K$12</f>
        <v>0.15</v>
      </c>
      <c r="H7" s="9"/>
      <c r="I7" s="9"/>
    </row>
    <row r="8" spans="2:9" ht="15" customHeight="1">
      <c r="B8" s="20" t="s">
        <v>237</v>
      </c>
      <c r="C8" s="39">
        <f>C6*(1-C7)</f>
        <v>99298.82977289999</v>
      </c>
      <c r="D8" s="39">
        <f>D6*(1-D7)</f>
        <v>99772.494374474001</v>
      </c>
      <c r="E8" s="39">
        <f>E6*(1-E7)</f>
        <v>76949.724807928797</v>
      </c>
      <c r="F8" s="39">
        <f>F6*(1-F7)</f>
        <v>60312.863603263933</v>
      </c>
      <c r="G8" s="39">
        <f>G6*(1-G7)</f>
        <v>66789.609403225724</v>
      </c>
      <c r="H8" s="9"/>
      <c r="I8" s="9"/>
    </row>
    <row r="9" spans="2:9" ht="15" customHeight="1">
      <c r="B9" s="9" t="s">
        <v>159</v>
      </c>
      <c r="C9" s="16">
        <f>Statements!G17</f>
        <v>12768.2</v>
      </c>
      <c r="D9" s="16">
        <f>Statements!H17</f>
        <v>17293.103999999999</v>
      </c>
      <c r="E9" s="16">
        <f>Statements!I17</f>
        <v>20604.751359999998</v>
      </c>
      <c r="F9" s="16">
        <f>Statements!J17</f>
        <v>22226.241696000001</v>
      </c>
      <c r="G9" s="16">
        <f>Statements!K17</f>
        <v>21832.818412159999</v>
      </c>
      <c r="H9" s="9"/>
      <c r="I9" s="9"/>
    </row>
    <row r="10" spans="2:9" ht="15" customHeight="1">
      <c r="B10" s="9" t="s">
        <v>75</v>
      </c>
      <c r="C10" s="16">
        <f>Statements!G67</f>
        <v>-45000</v>
      </c>
      <c r="D10" s="16">
        <f>Statements!H67</f>
        <v>-50000</v>
      </c>
      <c r="E10" s="16">
        <f>Statements!I67</f>
        <v>-40000</v>
      </c>
      <c r="F10" s="16">
        <f>Statements!J67</f>
        <v>-30000</v>
      </c>
      <c r="G10" s="16">
        <f>Statements!K67</f>
        <v>-28000</v>
      </c>
      <c r="H10" s="9"/>
      <c r="I10" s="9"/>
    </row>
    <row r="11" spans="2:9" ht="15" customHeight="1">
      <c r="B11" s="9" t="s">
        <v>238</v>
      </c>
      <c r="C11" s="16">
        <f>Statements!G65</f>
        <v>-3837.5783095890447</v>
      </c>
      <c r="D11" s="16">
        <f>Statements!H65</f>
        <v>212.8318137260294</v>
      </c>
      <c r="E11" s="16">
        <f>Statements!I65</f>
        <v>4434.6979153479451</v>
      </c>
      <c r="F11" s="16">
        <f>Statements!J65</f>
        <v>3013.3076305968507</v>
      </c>
      <c r="G11" s="16">
        <f>Statements!K65</f>
        <v>-1227.8047831504036</v>
      </c>
      <c r="H11" s="9"/>
      <c r="I11" s="9"/>
    </row>
    <row r="12" spans="2:9" ht="15" customHeight="1">
      <c r="B12" s="20" t="s">
        <v>239</v>
      </c>
      <c r="C12" s="39">
        <f>SUM(C8:C11)</f>
        <v>63229.451463310943</v>
      </c>
      <c r="D12" s="39">
        <f>SUM(D8:D11)</f>
        <v>67278.430188200044</v>
      </c>
      <c r="E12" s="39">
        <f>SUM(E8:E11)</f>
        <v>61989.174083276739</v>
      </c>
      <c r="F12" s="39">
        <f>SUM(F8:F11)</f>
        <v>55552.41292986078</v>
      </c>
      <c r="G12" s="39">
        <f>SUM(G8:G11)</f>
        <v>59394.623032235315</v>
      </c>
      <c r="H12" s="9"/>
      <c r="I12" s="9"/>
    </row>
    <row r="13" spans="2:9" ht="15" customHeight="1">
      <c r="B13" s="9" t="s">
        <v>240</v>
      </c>
      <c r="C13" s="46">
        <v>0.5</v>
      </c>
      <c r="D13" s="46">
        <v>1.5</v>
      </c>
      <c r="E13" s="46">
        <v>2.5</v>
      </c>
      <c r="F13" s="46">
        <v>3.5</v>
      </c>
      <c r="G13" s="46">
        <v>4.5</v>
      </c>
      <c r="H13" s="9"/>
      <c r="I13" s="9"/>
    </row>
    <row r="14" spans="2:9" ht="15" customHeight="1">
      <c r="B14" s="9" t="s">
        <v>241</v>
      </c>
      <c r="C14" s="47">
        <f>1/(1+$C$28)^C13</f>
        <v>0.94776750873926097</v>
      </c>
      <c r="D14" s="47">
        <f>1/(1+$C$28)^D13</f>
        <v>0.85134472323387766</v>
      </c>
      <c r="E14" s="47">
        <f>1/(1+$C$28)^E13</f>
        <v>0.76473167849180101</v>
      </c>
      <c r="F14" s="47">
        <f>1/(1+$C$28)^F13</f>
        <v>0.6869303633755296</v>
      </c>
      <c r="G14" s="47">
        <f>1/(1+$C$28)^G13</f>
        <v>0.61704430115653475</v>
      </c>
      <c r="H14" s="9"/>
      <c r="I14" s="9"/>
    </row>
    <row r="15" spans="2:9" ht="15" customHeight="1">
      <c r="B15" s="20" t="s">
        <v>242</v>
      </c>
      <c r="C15" s="39">
        <f>C12*C14</f>
        <v>59926.819692332232</v>
      </c>
      <c r="D15" s="39">
        <f>D12*D14</f>
        <v>57277.136528182928</v>
      </c>
      <c r="E15" s="39">
        <f>E12*E14</f>
        <v>47405.08514502467</v>
      </c>
      <c r="F15" s="39">
        <f>F12*F14</f>
        <v>38160.639200296733</v>
      </c>
      <c r="G15" s="39">
        <f>G12*G14</f>
        <v>36649.11366138146</v>
      </c>
      <c r="H15" s="9"/>
      <c r="I15" s="9"/>
    </row>
    <row r="16" spans="2:9" ht="15" customHeight="1">
      <c r="B16" s="8" t="s">
        <v>243</v>
      </c>
      <c r="C16" s="9"/>
      <c r="D16" s="9"/>
      <c r="E16" s="9"/>
      <c r="F16" s="9"/>
      <c r="G16" s="9"/>
      <c r="H16" s="9"/>
      <c r="I16" s="9"/>
    </row>
    <row r="17" spans="2:10" ht="15" customHeight="1">
      <c r="B17" s="9"/>
      <c r="C17" s="9"/>
      <c r="D17" s="9"/>
      <c r="E17" s="9"/>
      <c r="F17" s="9"/>
      <c r="G17" s="9"/>
      <c r="H17" s="9"/>
      <c r="I17" s="9"/>
    </row>
    <row r="18" spans="2:10" ht="15" customHeight="1">
      <c r="B18" s="6" t="s">
        <v>244</v>
      </c>
      <c r="C18" s="6"/>
      <c r="D18" s="9"/>
      <c r="E18" s="9"/>
      <c r="F18" s="9"/>
      <c r="G18" s="9"/>
      <c r="H18" s="9"/>
      <c r="I18" s="9"/>
    </row>
    <row r="19" spans="2:10" ht="15" customHeight="1">
      <c r="B19" s="9" t="s">
        <v>89</v>
      </c>
      <c r="C19" s="48">
        <f>Assumptions!C38</f>
        <v>4.99E-2</v>
      </c>
      <c r="D19" s="9"/>
      <c r="E19" s="9"/>
      <c r="F19" s="9"/>
      <c r="G19" s="9"/>
      <c r="H19" s="9"/>
      <c r="I19" s="9"/>
    </row>
    <row r="20" spans="2:10" ht="15" customHeight="1">
      <c r="B20" s="9" t="s">
        <v>10</v>
      </c>
      <c r="C20" s="17">
        <f>Assumptions!C39</f>
        <v>1.5068655309045584</v>
      </c>
      <c r="D20" s="9"/>
      <c r="E20" s="9"/>
      <c r="F20" s="9"/>
      <c r="G20" s="9"/>
      <c r="H20" s="9"/>
      <c r="I20" s="9"/>
    </row>
    <row r="21" spans="2:10" ht="15" customHeight="1">
      <c r="B21" s="9" t="s">
        <v>93</v>
      </c>
      <c r="C21" s="48">
        <f>Assumptions!C40</f>
        <v>4.2299999999999997E-2</v>
      </c>
      <c r="D21" s="9"/>
      <c r="E21" s="9"/>
      <c r="F21" s="9"/>
      <c r="G21" s="9"/>
      <c r="H21" s="9"/>
      <c r="I21" s="9"/>
    </row>
    <row r="22" spans="2:10" ht="15" customHeight="1">
      <c r="B22" s="9" t="s">
        <v>245</v>
      </c>
      <c r="C22" s="22">
        <f>C19+C20*C21</f>
        <v>0.11364041195726282</v>
      </c>
      <c r="D22" s="9"/>
      <c r="E22" s="9"/>
      <c r="F22" s="9"/>
      <c r="G22" s="9"/>
      <c r="H22" s="9"/>
      <c r="I22" s="9"/>
    </row>
    <row r="23" spans="2:10" ht="15" customHeight="1">
      <c r="B23" s="9" t="s">
        <v>8</v>
      </c>
      <c r="C23" s="49">
        <f>Assumptions!C37*Assumptions!C45</f>
        <v>1062634.5</v>
      </c>
      <c r="D23" s="9"/>
      <c r="E23" s="9"/>
      <c r="F23" s="9"/>
      <c r="G23" s="9"/>
      <c r="H23" s="9"/>
      <c r="I23" s="9"/>
    </row>
    <row r="24" spans="2:10" ht="15" customHeight="1">
      <c r="B24" s="9" t="s">
        <v>214</v>
      </c>
      <c r="C24" s="49">
        <f>Statements!F45</f>
        <v>5722</v>
      </c>
      <c r="D24" s="9"/>
      <c r="E24" s="9"/>
      <c r="F24" s="9"/>
      <c r="G24" s="9"/>
      <c r="H24" s="9"/>
      <c r="I24" s="9"/>
    </row>
    <row r="25" spans="2:10" ht="15" customHeight="1">
      <c r="B25" s="9" t="s">
        <v>246</v>
      </c>
      <c r="C25" s="22">
        <f>C23/SUM(C23:C24)</f>
        <v>0.99464410990151697</v>
      </c>
      <c r="D25" s="9"/>
      <c r="E25" s="9"/>
      <c r="F25" s="9"/>
      <c r="G25" s="9"/>
      <c r="H25" s="9"/>
      <c r="I25" s="9"/>
    </row>
    <row r="26" spans="2:10" ht="15" customHeight="1">
      <c r="B26" s="9" t="s">
        <v>247</v>
      </c>
      <c r="C26" s="22">
        <f>C24/SUM(C23:C24)</f>
        <v>5.3558900984830441E-3</v>
      </c>
      <c r="D26" s="9"/>
      <c r="E26" s="9"/>
      <c r="F26" s="9"/>
      <c r="G26" s="9"/>
      <c r="H26" s="9"/>
      <c r="I26" s="9"/>
    </row>
    <row r="27" spans="2:10" ht="15" customHeight="1">
      <c r="B27" s="9" t="s">
        <v>248</v>
      </c>
      <c r="C27" s="22">
        <f>Assumptions!C41*(1-Assumptions!C42)</f>
        <v>4.2500000000000003E-2</v>
      </c>
      <c r="D27" s="9"/>
      <c r="E27" s="9"/>
      <c r="F27" s="9"/>
      <c r="G27" s="9"/>
      <c r="H27" s="9"/>
      <c r="I27" s="9"/>
    </row>
    <row r="28" spans="2:10" ht="15" customHeight="1">
      <c r="B28" s="20" t="s">
        <v>9</v>
      </c>
      <c r="C28" s="50">
        <f>C25*C22+C26*C27</f>
        <v>0.11325939172925892</v>
      </c>
      <c r="D28" s="9"/>
      <c r="E28" s="9"/>
      <c r="F28" s="9"/>
      <c r="G28" s="9"/>
      <c r="H28" s="9"/>
      <c r="I28" s="9"/>
    </row>
    <row r="29" spans="2:10" ht="15" customHeight="1">
      <c r="B29" s="9"/>
      <c r="C29" s="9"/>
      <c r="D29" s="9"/>
      <c r="E29" s="9"/>
      <c r="F29" s="9"/>
      <c r="G29" s="9"/>
      <c r="H29" s="9"/>
      <c r="I29" s="9"/>
      <c r="J29" s="9"/>
    </row>
    <row r="30" spans="2:10" ht="15" customHeight="1">
      <c r="B30" s="6" t="s">
        <v>249</v>
      </c>
      <c r="C30" s="6"/>
      <c r="D30" s="9"/>
      <c r="E30" s="9"/>
      <c r="F30" s="9"/>
      <c r="G30" s="9"/>
      <c r="H30" s="9"/>
      <c r="I30" s="9"/>
      <c r="J30" s="9"/>
    </row>
    <row r="31" spans="2:10" ht="15" customHeight="1">
      <c r="B31" s="9" t="s">
        <v>11</v>
      </c>
      <c r="C31" s="15">
        <f>Assumptions!C43</f>
        <v>0.03</v>
      </c>
      <c r="D31" s="9"/>
      <c r="E31" s="9"/>
      <c r="F31" s="9"/>
      <c r="G31" s="9"/>
      <c r="H31" s="9"/>
      <c r="I31" s="9"/>
      <c r="J31" s="9"/>
    </row>
    <row r="32" spans="2:10" ht="15" customHeight="1">
      <c r="B32" s="9" t="s">
        <v>250</v>
      </c>
      <c r="C32" s="33">
        <f>G12*(1+C31)</f>
        <v>61176.461723202374</v>
      </c>
      <c r="D32" s="9"/>
      <c r="E32" s="9"/>
      <c r="F32" s="9"/>
      <c r="G32" s="9"/>
      <c r="H32" s="9"/>
      <c r="I32" s="9"/>
      <c r="J32" s="9"/>
    </row>
    <row r="33" spans="2:10" ht="15" customHeight="1">
      <c r="B33" s="9" t="s">
        <v>251</v>
      </c>
      <c r="C33" s="33">
        <f>C32/(C28-C31)</f>
        <v>734769.50110486825</v>
      </c>
      <c r="D33" s="9"/>
      <c r="E33" s="9"/>
      <c r="F33" s="9"/>
      <c r="G33" s="9"/>
      <c r="H33" s="9"/>
      <c r="I33" s="9"/>
      <c r="J33" s="9"/>
    </row>
    <row r="34" spans="2:10" ht="15" customHeight="1">
      <c r="B34" s="9" t="s">
        <v>252</v>
      </c>
      <c r="C34" s="33">
        <f>C33*G14</f>
        <v>453385.33332038909</v>
      </c>
      <c r="D34" s="9"/>
      <c r="E34" s="9"/>
      <c r="F34" s="9"/>
      <c r="G34" s="9"/>
      <c r="H34" s="9"/>
      <c r="I34" s="9"/>
      <c r="J34" s="9"/>
    </row>
    <row r="35" spans="2:10" ht="15" customHeight="1">
      <c r="B35" s="9" t="s">
        <v>253</v>
      </c>
      <c r="C35" s="33">
        <f>SUM(C15:G15)</f>
        <v>239418.79422721802</v>
      </c>
      <c r="D35" s="9"/>
      <c r="E35" s="9"/>
      <c r="F35" s="9"/>
      <c r="G35" s="9"/>
      <c r="H35" s="9"/>
      <c r="I35" s="9"/>
      <c r="J35" s="9"/>
    </row>
    <row r="36" spans="2:10" ht="15" customHeight="1">
      <c r="B36" s="20" t="s">
        <v>7</v>
      </c>
      <c r="C36" s="39">
        <f>SUM(C34:C35)</f>
        <v>692804.12754760706</v>
      </c>
      <c r="D36" s="9"/>
      <c r="E36" s="9"/>
      <c r="F36" s="9"/>
      <c r="G36" s="9"/>
      <c r="H36" s="9"/>
      <c r="I36" s="9"/>
      <c r="J36" s="9"/>
    </row>
    <row r="37" spans="2:10" ht="15" customHeight="1">
      <c r="B37" s="9" t="s">
        <v>254</v>
      </c>
      <c r="C37" s="16">
        <f>Assumptions!C44</f>
        <v>-53688.076164383572</v>
      </c>
      <c r="D37" s="9"/>
      <c r="E37" s="9"/>
      <c r="F37" s="9"/>
      <c r="G37" s="9"/>
      <c r="H37" s="9"/>
      <c r="I37" s="9"/>
      <c r="J37" s="9"/>
    </row>
    <row r="38" spans="2:10" ht="15" customHeight="1">
      <c r="B38" s="20" t="s">
        <v>8</v>
      </c>
      <c r="C38" s="39">
        <f>C36-C37</f>
        <v>746492.20371199062</v>
      </c>
      <c r="D38" s="9"/>
      <c r="E38" s="9"/>
      <c r="F38" s="9"/>
      <c r="G38" s="9"/>
      <c r="H38" s="9"/>
      <c r="I38" s="9"/>
      <c r="J38" s="9"/>
    </row>
    <row r="39" spans="2:10" ht="15" customHeight="1">
      <c r="B39" s="9" t="s">
        <v>45</v>
      </c>
      <c r="C39" s="16">
        <f>Assumptions!C45</f>
        <v>1150</v>
      </c>
      <c r="D39" s="9"/>
      <c r="E39" s="9"/>
      <c r="F39" s="9"/>
      <c r="G39" s="9"/>
      <c r="H39" s="9"/>
      <c r="I39" s="9"/>
      <c r="J39" s="9"/>
    </row>
    <row r="40" spans="2:10" ht="15" customHeight="1">
      <c r="B40" s="13" t="s">
        <v>255</v>
      </c>
      <c r="C40" s="51">
        <f>C38/C39</f>
        <v>649.12365540173096</v>
      </c>
      <c r="D40" s="9"/>
      <c r="E40" s="9"/>
      <c r="F40" s="9"/>
      <c r="G40" s="9"/>
      <c r="H40" s="9"/>
      <c r="I40" s="9"/>
      <c r="J40" s="9"/>
    </row>
    <row r="41" spans="2:10" ht="15" customHeight="1">
      <c r="B41" s="9" t="s">
        <v>4</v>
      </c>
      <c r="C41" s="12">
        <f>Assumptions!C37</f>
        <v>924.03</v>
      </c>
      <c r="D41" s="9"/>
      <c r="E41" s="9"/>
      <c r="F41" s="9"/>
      <c r="G41" s="9"/>
      <c r="H41" s="9"/>
      <c r="I41" s="9"/>
      <c r="J41" s="9"/>
    </row>
    <row r="42" spans="2:10" ht="15" customHeight="1">
      <c r="B42" s="20" t="s">
        <v>6</v>
      </c>
      <c r="C42" s="50">
        <f>C40/C41-1</f>
        <v>-0.29750802960755496</v>
      </c>
      <c r="D42" s="9"/>
      <c r="E42" s="9"/>
      <c r="F42" s="9"/>
      <c r="G42" s="9"/>
      <c r="H42" s="9"/>
      <c r="I42" s="9"/>
      <c r="J42" s="9"/>
    </row>
    <row r="43" spans="2:10" ht="15" customHeight="1">
      <c r="B43" s="9" t="s">
        <v>256</v>
      </c>
      <c r="C43" s="22">
        <f>C34/C36</f>
        <v>0.6544206584410599</v>
      </c>
      <c r="D43" s="9"/>
      <c r="E43" s="9"/>
      <c r="F43" s="9"/>
      <c r="G43" s="9"/>
      <c r="H43" s="9"/>
      <c r="I43" s="9"/>
      <c r="J43" s="9"/>
    </row>
    <row r="44" spans="2:10" ht="15" customHeight="1">
      <c r="B44" s="9" t="s">
        <v>257</v>
      </c>
      <c r="C44" s="52">
        <f>C33/Statements!K18</f>
        <v>7.3177777785910116</v>
      </c>
      <c r="D44" s="9"/>
      <c r="E44" s="9"/>
      <c r="F44" s="9"/>
      <c r="G44" s="9"/>
      <c r="H44" s="9"/>
      <c r="I44" s="9"/>
      <c r="J44" s="9"/>
    </row>
    <row r="45" spans="2:10" ht="15" customHeight="1">
      <c r="B45" s="9" t="s">
        <v>258</v>
      </c>
      <c r="C45" s="53" t="str">
        <f>CHOOSE(Assumptions!C62,"Base","Bull","Bear")&amp;" / "&amp;CHOOSE(Assumptions!C48,"Industry","Regression")</f>
        <v>Base / Industry</v>
      </c>
      <c r="D45" s="9"/>
      <c r="E45" s="9"/>
      <c r="F45" s="9"/>
      <c r="G45" s="9"/>
      <c r="H45" s="9"/>
      <c r="I45" s="9"/>
      <c r="J45" s="9"/>
    </row>
    <row r="46" spans="2:10" ht="15" customHeight="1">
      <c r="B46" s="9"/>
      <c r="C46" s="9"/>
      <c r="D46" s="9"/>
      <c r="E46" s="9"/>
      <c r="F46" s="9"/>
      <c r="G46" s="9"/>
      <c r="H46" s="9"/>
      <c r="I46" s="9"/>
      <c r="J46" s="9"/>
    </row>
    <row r="47" spans="2:10" ht="15" customHeight="1">
      <c r="B47" s="6" t="s">
        <v>259</v>
      </c>
      <c r="C47" s="6"/>
      <c r="D47" s="6"/>
      <c r="E47" s="6"/>
      <c r="F47" s="6"/>
      <c r="G47" s="6"/>
      <c r="H47" s="9"/>
      <c r="I47" s="9"/>
      <c r="J47" s="9"/>
    </row>
    <row r="48" spans="2:10" ht="15" customHeight="1">
      <c r="B48" s="19" t="s">
        <v>260</v>
      </c>
      <c r="C48" s="54">
        <f>$C$31+(-2)*$J$49</f>
        <v>1.9999999999999997E-2</v>
      </c>
      <c r="D48" s="54">
        <f>$C$31+(-1)*$J$49</f>
        <v>2.4999999999999998E-2</v>
      </c>
      <c r="E48" s="54">
        <f>$C$31+(0)*$J$49</f>
        <v>0.03</v>
      </c>
      <c r="F48" s="54">
        <f>$C$31+(1)*$J$49</f>
        <v>3.4999999999999996E-2</v>
      </c>
      <c r="G48" s="54">
        <f>$C$31+(2)*$J$49</f>
        <v>0.04</v>
      </c>
      <c r="H48" s="9"/>
      <c r="I48" s="9" t="s">
        <v>261</v>
      </c>
      <c r="J48" s="28">
        <v>5.0000000000000001E-3</v>
      </c>
    </row>
    <row r="49" spans="2:10" ht="15" customHeight="1">
      <c r="B49" s="54">
        <f>$C$28+(-2)*$J$48</f>
        <v>0.10325939172925892</v>
      </c>
      <c r="C49" s="38">
        <f>(SUMPRODUCT($C$12:$G$12/(1+$B49)^$C$13:$G$13)+$G$12*(1+C$48)/($B49-C$48)/(1+$B49)^$G$13-$C$37)/$C$39</f>
        <v>665.71519707064624</v>
      </c>
      <c r="D49" s="38">
        <f>(SUMPRODUCT($C$12:$G$12/(1+$B49)^$C$13:$G$13)+$G$12*(1+D$48)/($B49-D$48)/(1+$B49)^$G$13-$C$37)/$C$39</f>
        <v>693.81335676484628</v>
      </c>
      <c r="E49" s="38">
        <f>(SUMPRODUCT($C$12:$G$12/(1+$B49)^$C$13:$G$13)+$G$12*(1+E$48)/($B49-E$48)/(1+$B49)^$G$13-$C$37)/$C$39</f>
        <v>725.74695093795151</v>
      </c>
      <c r="F49" s="38">
        <f>(SUMPRODUCT($C$12:$G$12/(1+$B49)^$C$13:$G$13)+$G$12*(1+F$48)/($B49-F$48)/(1+$B49)^$G$13-$C$37)/$C$39</f>
        <v>762.35881624182866</v>
      </c>
      <c r="G49" s="38">
        <f>(SUMPRODUCT($C$12:$G$12/(1+$B49)^$C$13:$G$13)+$G$12*(1+G$48)/($B49-G$48)/(1+$B49)^$G$13-$C$37)/$C$39</f>
        <v>804.75825937455556</v>
      </c>
      <c r="H49" s="9"/>
      <c r="I49" s="9" t="s">
        <v>262</v>
      </c>
      <c r="J49" s="28">
        <v>5.0000000000000001E-3</v>
      </c>
    </row>
    <row r="50" spans="2:10" ht="15" customHeight="1">
      <c r="B50" s="54">
        <f>$C$28+(-1)*$J$48</f>
        <v>0.10825939172925891</v>
      </c>
      <c r="C50" s="38">
        <f>(SUMPRODUCT($C$12:$G$12/(1+$B50)^$C$13:$G$13)+$G$12*(1+C$48)/($B50-C$48)/(1+$B50)^$G$13-$C$37)/$C$39</f>
        <v>632.81523576946984</v>
      </c>
      <c r="D50" s="38">
        <f>(SUMPRODUCT($C$12:$G$12/(1+$B50)^$C$13:$G$13)+$G$12*(1+D$48)/($B50-D$48)/(1+$B50)^$G$13-$C$37)/$C$39</f>
        <v>657.33860625988734</v>
      </c>
      <c r="E50" s="38">
        <f>(SUMPRODUCT($C$12:$G$12/(1+$B50)^$C$13:$G$13)+$G$12*(1+E$48)/($B50-E$48)/(1+$B50)^$G$13-$C$37)/$C$39</f>
        <v>684.99557770841841</v>
      </c>
      <c r="F50" s="38">
        <f>(SUMPRODUCT($C$12:$G$12/(1+$B50)^$C$13:$G$13)+$G$12*(1+F$48)/($B50-F$48)/(1+$B50)^$G$13-$C$37)/$C$39</f>
        <v>716.4277608800744</v>
      </c>
      <c r="G50" s="38">
        <f>(SUMPRODUCT($C$12:$G$12/(1+$B50)^$C$13:$G$13)+$G$12*(1+G$48)/($B50-G$48)/(1+$B50)^$G$13-$C$37)/$C$39</f>
        <v>752.46475847731563</v>
      </c>
      <c r="H50" s="9"/>
      <c r="I50" s="9" t="s">
        <v>263</v>
      </c>
      <c r="J50" s="37">
        <v>0.25</v>
      </c>
    </row>
    <row r="51" spans="2:10" ht="15" customHeight="1">
      <c r="B51" s="54">
        <f>$C$28+(0)*$J$48</f>
        <v>0.11325939172925892</v>
      </c>
      <c r="C51" s="38">
        <f>(SUMPRODUCT($C$12:$G$12/(1+$B51)^$C$13:$G$13)+$G$12*(1+C$48)/($B51-C$48)/(1+$B51)^$G$13-$C$37)/$C$39</f>
        <v>603.43207383362585</v>
      </c>
      <c r="D51" s="38">
        <f>(SUMPRODUCT($C$12:$G$12/(1+$B51)^$C$13:$G$13)+$G$12*(1+D$48)/($B51-D$48)/(1+$B51)^$G$13-$C$37)/$C$39</f>
        <v>624.98362327200186</v>
      </c>
      <c r="E51" s="51">
        <f>(SUMPRODUCT($C$12:$G$12/(1+$B51)^$C$13:$G$13)+$G$12*(1+E$48)/($B51-E$48)/(1+$B51)^$G$13-$C$37)/$C$39</f>
        <v>649.12365540173096</v>
      </c>
      <c r="F51" s="38">
        <f>(SUMPRODUCT($C$12:$G$12/(1+$B51)^$C$13:$G$13)+$G$12*(1+F$48)/($B51-F$48)/(1+$B51)^$G$13-$C$37)/$C$39</f>
        <v>676.34830544073839</v>
      </c>
      <c r="G51" s="38">
        <f>(SUMPRODUCT($C$12:$G$12/(1+$B51)^$C$13:$G$13)+$G$12*(1+G$48)/($B51-G$48)/(1+$B51)^$G$13-$C$37)/$C$39</f>
        <v>707.2891547814844</v>
      </c>
      <c r="H51" s="9"/>
      <c r="I51" s="9"/>
      <c r="J51" s="9"/>
    </row>
    <row r="52" spans="2:10" ht="15" customHeight="1">
      <c r="B52" s="54">
        <f>$C$28+(1)*$J$48</f>
        <v>0.11825939172925892</v>
      </c>
      <c r="C52" s="38">
        <f>(SUMPRODUCT($C$12:$G$12/(1+$B52)^$C$13:$G$13)+$G$12*(1+C$48)/($B52-C$48)/(1+$B52)^$G$13-$C$37)/$C$39</f>
        <v>577.02897828592086</v>
      </c>
      <c r="D52" s="38">
        <f>(SUMPRODUCT($C$12:$G$12/(1+$B52)^$C$13:$G$13)+$G$12*(1+D$48)/($B52-D$48)/(1+$B52)^$G$13-$C$37)/$C$39</f>
        <v>596.0859418843562</v>
      </c>
      <c r="E52" s="38">
        <f>(SUMPRODUCT($C$12:$G$12/(1+$B52)^$C$13:$G$13)+$G$12*(1+E$48)/($B52-E$48)/(1+$B52)^$G$13-$C$37)/$C$39</f>
        <v>617.30210499969894</v>
      </c>
      <c r="F52" s="38">
        <f>(SUMPRODUCT($C$12:$G$12/(1+$B52)^$C$13:$G$13)+$G$12*(1+F$48)/($B52-F$48)/(1+$B52)^$G$13-$C$37)/$C$39</f>
        <v>641.06646870535269</v>
      </c>
      <c r="G52" s="38">
        <f>(SUMPRODUCT($C$12:$G$12/(1+$B52)^$C$13:$G$13)+$G$12*(1+G$48)/($B52-G$48)/(1+$B52)^$G$13-$C$37)/$C$39</f>
        <v>667.86744733741273</v>
      </c>
      <c r="H52" s="9"/>
      <c r="I52" s="9"/>
      <c r="J52" s="9"/>
    </row>
    <row r="53" spans="2:10" ht="15" customHeight="1">
      <c r="B53" s="54">
        <f>$C$28+(2)*$J$48</f>
        <v>0.12325939172925891</v>
      </c>
      <c r="C53" s="38">
        <f>(SUMPRODUCT($C$12:$G$12/(1+$B53)^$C$13:$G$13)+$G$12*(1+C$48)/($B53-C$48)/(1+$B53)^$G$13-$C$37)/$C$39</f>
        <v>553.17317230511287</v>
      </c>
      <c r="D53" s="38">
        <f>(SUMPRODUCT($C$12:$G$12/(1+$B53)^$C$13:$G$13)+$G$12*(1+D$48)/($B53-D$48)/(1+$B53)^$G$13-$C$37)/$C$39</f>
        <v>570.11793362538265</v>
      </c>
      <c r="E53" s="38">
        <f>(SUMPRODUCT($C$12:$G$12/(1+$B53)^$C$13:$G$13)+$G$12*(1+E$48)/($B53-E$48)/(1+$B53)^$G$13-$C$37)/$C$39</f>
        <v>588.87964453175562</v>
      </c>
      <c r="F53" s="38">
        <f>(SUMPRODUCT($C$12:$G$12/(1+$B53)^$C$13:$G$13)+$G$12*(1+F$48)/($B53-F$48)/(1+$B53)^$G$13-$C$37)/$C$39</f>
        <v>609.76710211944771</v>
      </c>
      <c r="G53" s="38">
        <f>(SUMPRODUCT($C$12:$G$12/(1+$B53)^$C$13:$G$13)+$G$12*(1+G$48)/($B53-G$48)/(1+$B53)^$G$13-$C$37)/$C$39</f>
        <v>633.16328060383046</v>
      </c>
      <c r="H53" s="9"/>
      <c r="I53" s="9"/>
      <c r="J53" s="9"/>
    </row>
    <row r="54" spans="2:10" ht="15" customHeight="1">
      <c r="B54" s="9"/>
      <c r="C54" s="9"/>
      <c r="D54" s="9"/>
      <c r="E54" s="9"/>
      <c r="F54" s="9"/>
      <c r="G54" s="9"/>
      <c r="H54" s="9"/>
      <c r="I54" s="9"/>
      <c r="J54" s="9"/>
    </row>
    <row r="55" spans="2:10" ht="15" customHeight="1">
      <c r="B55" s="6" t="s">
        <v>264</v>
      </c>
      <c r="C55" s="6"/>
      <c r="D55" s="6"/>
      <c r="E55" s="6"/>
      <c r="F55" s="6"/>
      <c r="G55" s="6"/>
      <c r="H55" s="6"/>
      <c r="I55" s="9"/>
      <c r="J55" s="9"/>
    </row>
    <row r="56" spans="2:10" ht="15" customHeight="1">
      <c r="B56" s="19" t="s">
        <v>265</v>
      </c>
      <c r="C56" s="19" t="s">
        <v>266</v>
      </c>
      <c r="D56" s="54">
        <f>$C$31+(-2)*$J$49</f>
        <v>1.9999999999999997E-2</v>
      </c>
      <c r="E56" s="54">
        <f>$C$31+(-1)*$J$49</f>
        <v>2.4999999999999998E-2</v>
      </c>
      <c r="F56" s="54">
        <f>$C$31+(0)*$J$49</f>
        <v>0.03</v>
      </c>
      <c r="G56" s="54">
        <f>$C$31+(1)*$J$49</f>
        <v>3.4999999999999996E-2</v>
      </c>
      <c r="H56" s="54">
        <f>$C$31+(2)*$J$49</f>
        <v>0.04</v>
      </c>
      <c r="I56" s="9"/>
      <c r="J56" s="9"/>
    </row>
    <row r="57" spans="2:10" ht="15" customHeight="1">
      <c r="B57" s="55">
        <f>$C$20+(-2)*$J$50</f>
        <v>1.0068655309045584</v>
      </c>
      <c r="C57" s="54">
        <f>$C$25*($C$19+B57*$C$21)+$C$26*$C$27</f>
        <v>9.222266880484184E-2</v>
      </c>
      <c r="D57" s="38">
        <f>(SUMPRODUCT($C$12:$G$12/(1+$C57)^$C$13:$G$13)+$G$12*(1+D$56)/($C57-D$56)/(1+$C57)^$G$13-$C$37)/$C$39</f>
        <v>754.41089265077949</v>
      </c>
      <c r="E57" s="38">
        <f>(SUMPRODUCT($C$12:$G$12/(1+$C57)^$C$13:$G$13)+$G$12*(1+E$56)/($C57-E$56)/(1+$C57)^$G$13-$C$37)/$C$39</f>
        <v>793.47166805969096</v>
      </c>
      <c r="F57" s="38">
        <f>(SUMPRODUCT($C$12:$G$12/(1+$C57)^$C$13:$G$13)+$G$12*(1+F$56)/($C57-F$56)/(1+$C57)^$G$13-$C$37)/$C$39</f>
        <v>838.81002303231799</v>
      </c>
      <c r="G57" s="38">
        <f>(SUMPRODUCT($C$12:$G$12/(1+$C57)^$C$13:$G$13)+$G$12*(1+G$56)/($C57-G$56)/(1+$C57)^$G$13-$C$37)/$C$39</f>
        <v>892.07152383500966</v>
      </c>
      <c r="H57" s="38">
        <f>(SUMPRODUCT($C$12:$G$12/(1+$C57)^$C$13:$G$13)+$G$12*(1+H$56)/($C57-H$56)/(1+$C57)^$G$13-$C$37)/$C$39</f>
        <v>955.53194821277475</v>
      </c>
      <c r="I57" s="9"/>
      <c r="J57" s="9"/>
    </row>
    <row r="58" spans="2:10" ht="15" customHeight="1">
      <c r="B58" s="55">
        <f>$C$20+(-1)*$J$50</f>
        <v>1.2568655309045584</v>
      </c>
      <c r="C58" s="54">
        <f>$C$25*($C$19+B58*$C$21)+$C$26*$C$27</f>
        <v>0.10274103026705038</v>
      </c>
      <c r="D58" s="38">
        <f>(SUMPRODUCT($C$12:$G$12/(1+$C58)^$C$13:$G$13)+$G$12*(1+D$56)/($C58-D$56)/(1+$C58)^$G$13-$C$37)/$C$39</f>
        <v>669.35277851858393</v>
      </c>
      <c r="E58" s="38">
        <f>(SUMPRODUCT($C$12:$G$12/(1+$C58)^$C$13:$G$13)+$G$12*(1+E$56)/($C58-E$56)/(1+$C58)^$G$13-$C$37)/$C$39</f>
        <v>697.86235130388684</v>
      </c>
      <c r="F58" s="38">
        <f>(SUMPRODUCT($C$12:$G$12/(1+$C58)^$C$13:$G$13)+$G$12*(1+F$56)/($C58-F$56)/(1+$C58)^$G$13-$C$37)/$C$39</f>
        <v>730.29124894348979</v>
      </c>
      <c r="G58" s="38">
        <f>(SUMPRODUCT($C$12:$G$12/(1+$C58)^$C$13:$G$13)+$G$12*(1+G$56)/($C58-G$56)/(1+$C58)^$G$13-$C$37)/$C$39</f>
        <v>767.50733353784665</v>
      </c>
      <c r="H58" s="38">
        <f>(SUMPRODUCT($C$12:$G$12/(1+$C58)^$C$13:$G$13)+$G$12*(1+H$56)/($C58-H$56)/(1+$C58)^$G$13-$C$37)/$C$39</f>
        <v>810.65511616711842</v>
      </c>
      <c r="I58" s="9"/>
      <c r="J58" s="9"/>
    </row>
    <row r="59" spans="2:10" ht="15" customHeight="1">
      <c r="B59" s="55">
        <f>$C$20+(0)*$J$50</f>
        <v>1.5068655309045584</v>
      </c>
      <c r="C59" s="54">
        <f>$C$25*($C$19+B59*$C$21)+$C$26*$C$27</f>
        <v>0.11325939172925892</v>
      </c>
      <c r="D59" s="38">
        <f>(SUMPRODUCT($C$12:$G$12/(1+$C59)^$C$13:$G$13)+$G$12*(1+D$56)/($C59-D$56)/(1+$C59)^$G$13-$C$37)/$C$39</f>
        <v>603.43207383362585</v>
      </c>
      <c r="E59" s="38">
        <f>(SUMPRODUCT($C$12:$G$12/(1+$C59)^$C$13:$G$13)+$G$12*(1+E$56)/($C59-E$56)/(1+$C59)^$G$13-$C$37)/$C$39</f>
        <v>624.98362327200186</v>
      </c>
      <c r="F59" s="51">
        <f>(SUMPRODUCT($C$12:$G$12/(1+$C59)^$C$13:$G$13)+$G$12*(1+F$56)/($C59-F$56)/(1+$C59)^$G$13-$C$37)/$C$39</f>
        <v>649.12365540173096</v>
      </c>
      <c r="G59" s="38">
        <f>(SUMPRODUCT($C$12:$G$12/(1+$C59)^$C$13:$G$13)+$G$12*(1+G$56)/($C59-G$56)/(1+$C59)^$G$13-$C$37)/$C$39</f>
        <v>676.34830544073839</v>
      </c>
      <c r="H59" s="38">
        <f>(SUMPRODUCT($C$12:$G$12/(1+$C59)^$C$13:$G$13)+$G$12*(1+H$56)/($C59-H$56)/(1+$C59)^$G$13-$C$37)/$C$39</f>
        <v>707.2891547814844</v>
      </c>
      <c r="I59" s="9"/>
      <c r="J59" s="9"/>
    </row>
    <row r="60" spans="2:10" ht="15" customHeight="1">
      <c r="B60" s="55">
        <f>$C$20+(1)*$J$50</f>
        <v>1.7568655309045584</v>
      </c>
      <c r="C60" s="54">
        <f>$C$25*($C$19+B60*$C$21)+$C$26*$C$27</f>
        <v>0.12377775319146746</v>
      </c>
      <c r="D60" s="38">
        <f>(SUMPRODUCT($C$12:$G$12/(1+$C60)^$C$13:$G$13)+$G$12*(1+D$56)/($C60-D$56)/(1+$C60)^$G$13-$C$37)/$C$39</f>
        <v>550.83095131237667</v>
      </c>
      <c r="E60" s="38">
        <f>(SUMPRODUCT($C$12:$G$12/(1+$C60)^$C$13:$G$13)+$G$12*(1+E$56)/($C60-E$56)/(1+$C60)^$G$13-$C$37)/$C$39</f>
        <v>567.57553601506754</v>
      </c>
      <c r="F60" s="38">
        <f>(SUMPRODUCT($C$12:$G$12/(1+$C60)^$C$13:$G$13)+$G$12*(1+F$56)/($C60-F$56)/(1+$C60)^$G$13-$C$37)/$C$39</f>
        <v>586.10568116603497</v>
      </c>
      <c r="G60" s="38">
        <f>(SUMPRODUCT($C$12:$G$12/(1+$C60)^$C$13:$G$13)+$G$12*(1+G$56)/($C60-G$56)/(1+$C60)^$G$13-$C$37)/$C$39</f>
        <v>606.72307728752457</v>
      </c>
      <c r="H60" s="38">
        <f>(SUMPRODUCT($C$12:$G$12/(1+$C60)^$C$13:$G$13)+$G$12*(1+H$56)/($C60-H$56)/(1+$C60)^$G$13-$C$37)/$C$39</f>
        <v>629.80143653300377</v>
      </c>
      <c r="I60" s="9"/>
      <c r="J60" s="9"/>
    </row>
    <row r="61" spans="2:10" ht="15" customHeight="1">
      <c r="B61" s="55">
        <f>$C$20+(2)*$J$50</f>
        <v>2.0068655309045584</v>
      </c>
      <c r="C61" s="54">
        <f>$C$25*($C$19+B61*$C$21)+$C$26*$C$27</f>
        <v>0.134296114653676</v>
      </c>
      <c r="D61" s="38">
        <f>(SUMPRODUCT($C$12:$G$12/(1+$C61)^$C$13:$G$13)+$G$12*(1+D$56)/($C61-D$56)/(1+$C61)^$G$13-$C$37)/$C$39</f>
        <v>507.87314313179218</v>
      </c>
      <c r="E61" s="38">
        <f>(SUMPRODUCT($C$12:$G$12/(1+$C61)^$C$13:$G$13)+$G$12*(1+E$56)/($C61-E$56)/(1+$C61)^$G$13-$C$37)/$C$39</f>
        <v>521.17280340970683</v>
      </c>
      <c r="F61" s="38">
        <f>(SUMPRODUCT($C$12:$G$12/(1+$C61)^$C$13:$G$13)+$G$12*(1+F$56)/($C61-F$56)/(1+$C61)^$G$13-$C$37)/$C$39</f>
        <v>535.74764640387878</v>
      </c>
      <c r="G61" s="38">
        <f>(SUMPRODUCT($C$12:$G$12/(1+$C61)^$C$13:$G$13)+$G$12*(1+G$56)/($C61-G$56)/(1+$C61)^$G$13-$C$37)/$C$39</f>
        <v>551.79030543949466</v>
      </c>
      <c r="H61" s="38">
        <f>(SUMPRODUCT($C$12:$G$12/(1+$C61)^$C$13:$G$13)+$G$12*(1+H$56)/($C61-H$56)/(1+$C61)^$G$13-$C$37)/$C$39</f>
        <v>569.53427094935239</v>
      </c>
      <c r="I61" s="9"/>
      <c r="J61" s="9"/>
    </row>
    <row r="62" spans="2:10" ht="15" customHeight="1">
      <c r="B62" s="9"/>
      <c r="C62" s="9"/>
      <c r="D62" s="9"/>
      <c r="E62" s="9"/>
      <c r="F62" s="9"/>
      <c r="G62" s="9"/>
      <c r="H62" s="9"/>
      <c r="I62" s="9"/>
      <c r="J62" s="9"/>
    </row>
    <row r="63" spans="2:10" ht="15" customHeight="1">
      <c r="B63" s="9"/>
      <c r="C63" s="9"/>
      <c r="D63" s="9"/>
      <c r="E63" s="9"/>
      <c r="F63" s="9"/>
      <c r="G63" s="9"/>
      <c r="H63" s="9"/>
      <c r="I63" s="9"/>
      <c r="J63" s="9"/>
    </row>
    <row r="64" spans="2:10" ht="15" customHeight="1">
      <c r="B64" s="9"/>
      <c r="C64" s="9"/>
      <c r="D64" s="9"/>
      <c r="E64" s="9"/>
      <c r="F64" s="9"/>
      <c r="G64" s="9"/>
      <c r="H64" s="9"/>
      <c r="I64" s="9"/>
      <c r="J64" s="9"/>
    </row>
    <row r="65" spans="2:10" ht="15" customHeight="1">
      <c r="B65" s="9"/>
      <c r="C65" s="9"/>
      <c r="D65" s="9"/>
      <c r="E65" s="9"/>
      <c r="F65" s="9"/>
      <c r="G65" s="9"/>
      <c r="H65" s="9"/>
      <c r="I65" s="9"/>
      <c r="J65" s="9"/>
    </row>
    <row r="66" spans="2:10" ht="15" customHeight="1">
      <c r="B66" s="9"/>
      <c r="C66" s="9"/>
      <c r="D66" s="9"/>
      <c r="E66" s="9"/>
      <c r="F66" s="9"/>
      <c r="G66" s="9"/>
      <c r="H66" s="9"/>
      <c r="I66" s="9"/>
      <c r="J66" s="9"/>
    </row>
    <row r="67" spans="2:10" ht="15" customHeight="1">
      <c r="B67" s="9"/>
      <c r="C67" s="9"/>
      <c r="D67" s="9"/>
      <c r="E67" s="9"/>
      <c r="F67" s="9"/>
      <c r="G67" s="9"/>
      <c r="H67" s="9"/>
      <c r="I67" s="9"/>
      <c r="J67" s="9"/>
    </row>
    <row r="68" spans="2:10" ht="15" customHeight="1">
      <c r="B68" s="9"/>
      <c r="C68" s="9"/>
      <c r="D68" s="9"/>
      <c r="E68" s="9"/>
      <c r="F68" s="9"/>
      <c r="G68" s="9"/>
      <c r="H68" s="9"/>
      <c r="I68" s="9"/>
      <c r="J68" s="9"/>
    </row>
    <row r="69" spans="2:10" ht="15" customHeight="1">
      <c r="B69" s="9"/>
      <c r="C69" s="9"/>
      <c r="D69" s="9"/>
      <c r="E69" s="9"/>
      <c r="F69" s="9"/>
      <c r="G69" s="9"/>
      <c r="H69" s="9"/>
      <c r="I69" s="9"/>
      <c r="J69" s="9"/>
    </row>
  </sheetData>
  <mergeCells count="5">
    <mergeCell ref="B2:I2"/>
    <mergeCell ref="B18:C18"/>
    <mergeCell ref="B30:C30"/>
    <mergeCell ref="B47:G47"/>
    <mergeCell ref="B55:H55"/>
  </mergeCell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pageSetUpPr fitToPage="1"/>
  </sheetPr>
  <dimension ref="B2:K19"/>
  <sheetViews>
    <sheetView showGridLines="0" zoomScaleNormal="100" workbookViewId="0"/>
  </sheetViews>
  <sheetFormatPr defaultColWidth="8.7109375" defaultRowHeight="15"/>
  <cols>
    <col min="1" max="1" width="2" customWidth="1"/>
    <col min="2" max="2" width="46" customWidth="1"/>
    <col min="3" max="11" width="12" customWidth="1"/>
  </cols>
  <sheetData>
    <row r="2" spans="2:11" ht="19.5" customHeight="1">
      <c r="B2" s="7" t="s">
        <v>267</v>
      </c>
      <c r="C2" s="7"/>
      <c r="D2" s="7"/>
      <c r="E2" s="7"/>
      <c r="F2" s="7"/>
      <c r="G2" s="7"/>
      <c r="H2" s="7"/>
      <c r="I2" s="7"/>
      <c r="J2" s="7"/>
      <c r="K2" s="7"/>
    </row>
    <row r="3" spans="2:11" ht="15" customHeight="1">
      <c r="B3" s="8" t="s">
        <v>268</v>
      </c>
    </row>
    <row r="5" spans="2:11" ht="15" customHeight="1">
      <c r="B5" s="24" t="s">
        <v>48</v>
      </c>
      <c r="C5" s="25" t="s">
        <v>49</v>
      </c>
      <c r="D5" s="25" t="s">
        <v>50</v>
      </c>
      <c r="E5" s="25" t="s">
        <v>29</v>
      </c>
      <c r="F5" s="25" t="s">
        <v>30</v>
      </c>
      <c r="G5" s="25" t="s">
        <v>31</v>
      </c>
      <c r="H5" s="25" t="s">
        <v>32</v>
      </c>
      <c r="I5" s="25" t="s">
        <v>33</v>
      </c>
      <c r="J5" s="25" t="s">
        <v>34</v>
      </c>
      <c r="K5" s="25" t="s">
        <v>35</v>
      </c>
    </row>
    <row r="6" spans="2:11" ht="15" customHeight="1">
      <c r="B6" s="9" t="s">
        <v>269</v>
      </c>
      <c r="C6" s="56">
        <f>Statements!C52</f>
        <v>0</v>
      </c>
      <c r="D6" s="56">
        <f>Statements!D52</f>
        <v>0</v>
      </c>
      <c r="E6" s="56">
        <f>Statements!E52</f>
        <v>0</v>
      </c>
      <c r="F6" s="56">
        <f>Statements!F52</f>
        <v>0</v>
      </c>
      <c r="G6" s="56">
        <f>Statements!G52</f>
        <v>0</v>
      </c>
      <c r="H6" s="56">
        <f>Statements!H52</f>
        <v>0</v>
      </c>
      <c r="I6" s="56">
        <f>Statements!I52</f>
        <v>0</v>
      </c>
      <c r="J6" s="56">
        <f>Statements!J52</f>
        <v>0</v>
      </c>
      <c r="K6" s="56">
        <f>Statements!K52</f>
        <v>0</v>
      </c>
    </row>
    <row r="7" spans="2:11" ht="15" customHeight="1">
      <c r="B7" s="9" t="s">
        <v>234</v>
      </c>
      <c r="C7" s="56">
        <f>Statements!C80</f>
        <v>0</v>
      </c>
      <c r="D7" s="56">
        <f>Statements!D80</f>
        <v>0</v>
      </c>
      <c r="E7" s="56">
        <f>Statements!E80</f>
        <v>0</v>
      </c>
      <c r="F7" s="56">
        <f>Statements!F80</f>
        <v>0</v>
      </c>
      <c r="G7" s="56">
        <f>Statements!G80</f>
        <v>0</v>
      </c>
      <c r="H7" s="56">
        <f>Statements!H80</f>
        <v>0</v>
      </c>
      <c r="I7" s="56">
        <f>Statements!I80</f>
        <v>0</v>
      </c>
      <c r="J7" s="56">
        <f>Statements!J80</f>
        <v>0</v>
      </c>
      <c r="K7" s="56">
        <f>Statements!K80</f>
        <v>0</v>
      </c>
    </row>
    <row r="8" spans="2:11" ht="15" customHeight="1">
      <c r="B8" s="9" t="s">
        <v>270</v>
      </c>
      <c r="F8" s="56">
        <f>Statements!F39-(Statements!E39+Assumptions!F$27-Assumptions!F$30-Statements!F17)</f>
        <v>0</v>
      </c>
      <c r="G8" s="56">
        <f>Statements!G39-(Statements!F39+Assumptions!G$27-Assumptions!G$30-Statements!G17)</f>
        <v>0</v>
      </c>
      <c r="H8" s="56">
        <f>Statements!H39-(Statements!G39+Assumptions!H$27-Assumptions!H$30-Statements!H17)</f>
        <v>0</v>
      </c>
      <c r="I8" s="56">
        <f>Statements!I39-(Statements!H39+Assumptions!I$27-Assumptions!I$30-Statements!I17)</f>
        <v>0</v>
      </c>
      <c r="J8" s="56">
        <f>Statements!J39-(Statements!I39+Assumptions!J$27-Assumptions!J$30-Statements!J17)</f>
        <v>0</v>
      </c>
      <c r="K8" s="56">
        <f>Statements!K39-(Statements!J39+Assumptions!K$27-Assumptions!K$30-Statements!K17)</f>
        <v>0</v>
      </c>
    </row>
    <row r="9" spans="2:11" ht="15" customHeight="1">
      <c r="B9" s="9" t="s">
        <v>271</v>
      </c>
      <c r="F9" s="56">
        <f>Statements!F45-(Statements!E45+Statements!F71)</f>
        <v>0</v>
      </c>
      <c r="G9" s="56">
        <f>Statements!G45-(Statements!F45+Statements!G71)</f>
        <v>0</v>
      </c>
      <c r="H9" s="56">
        <f>Statements!H45-(Statements!G45+Statements!H71)</f>
        <v>0</v>
      </c>
      <c r="I9" s="56">
        <f>Statements!I45-(Statements!H45+Statements!I71)</f>
        <v>0</v>
      </c>
      <c r="J9" s="56">
        <f>Statements!J45-(Statements!I45+Statements!J71)</f>
        <v>0</v>
      </c>
      <c r="K9" s="56">
        <f>Statements!K45-(Statements!J45+Statements!K71)</f>
        <v>0</v>
      </c>
    </row>
    <row r="10" spans="2:11" ht="15" customHeight="1">
      <c r="B10" s="9" t="s">
        <v>272</v>
      </c>
      <c r="F10" s="56">
        <f>Statements!F50-(Statements!E50+Statements!F26+Statements!F64-Assumptions!F$31-Assumptions!F$32+Statements!F74+Statements!F76)</f>
        <v>0</v>
      </c>
      <c r="G10" s="56">
        <f>Statements!G50-(Statements!F50+Statements!G26+Statements!G64-Assumptions!G$31-Assumptions!G$32+Statements!G74+Statements!G76)</f>
        <v>0</v>
      </c>
      <c r="H10" s="56">
        <f>Statements!H50-(Statements!G50+Statements!H26+Statements!H64-Assumptions!H$31-Assumptions!H$32+Statements!H74+Statements!H76)</f>
        <v>0</v>
      </c>
      <c r="I10" s="56">
        <f>Statements!I50-(Statements!H50+Statements!I26+Statements!I64-Assumptions!I$31-Assumptions!I$32+Statements!I74+Statements!I76)</f>
        <v>0</v>
      </c>
      <c r="J10" s="56">
        <f>Statements!J50-(Statements!I50+Statements!J26+Statements!J64-Assumptions!J$31-Assumptions!J$32+Statements!J74+Statements!J76)</f>
        <v>0</v>
      </c>
      <c r="K10" s="56">
        <f>Statements!K50-(Statements!J50+Statements!K26+Statements!K64-Assumptions!K$31-Assumptions!K$32+Statements!K74+Statements!K76)</f>
        <v>0</v>
      </c>
    </row>
    <row r="11" spans="2:11" ht="15" customHeight="1">
      <c r="B11" s="9" t="s">
        <v>273</v>
      </c>
      <c r="F11" s="56">
        <f>'FY26 Bridge'!C38</f>
        <v>0</v>
      </c>
    </row>
    <row r="13" spans="2:11" ht="15" customHeight="1">
      <c r="B13" s="9" t="s">
        <v>274</v>
      </c>
      <c r="C13" s="56">
        <f>DCF!C36-SUM(DCF!C34:C35)</f>
        <v>0</v>
      </c>
    </row>
    <row r="14" spans="2:11" ht="15" customHeight="1">
      <c r="B14" s="9" t="s">
        <v>275</v>
      </c>
      <c r="C14" s="56">
        <f>DCF!E51-DCF!C40</f>
        <v>0</v>
      </c>
    </row>
    <row r="15" spans="2:11" ht="15" customHeight="1">
      <c r="B15" s="9" t="s">
        <v>276</v>
      </c>
      <c r="C15" s="56">
        <f>DCF!F59-DCF!C40</f>
        <v>0</v>
      </c>
    </row>
    <row r="16" spans="2:11" ht="15" customHeight="1">
      <c r="B16" s="9" t="s">
        <v>277</v>
      </c>
      <c r="C16" s="56">
        <f>IF(Assumptions!C48=1,DCF!C40-INDEX(Summary!C21:C23,Assumptions!C62),DCF!C40-INDEX(Summary!E21:E23,Assumptions!C62))</f>
        <v>3.6554017309526898E-3</v>
      </c>
    </row>
    <row r="17" spans="2:3" ht="15" customHeight="1">
      <c r="B17" s="9" t="s">
        <v>278</v>
      </c>
      <c r="C17" s="57">
        <v>0.1</v>
      </c>
    </row>
    <row r="18" spans="2:3" ht="15" customHeight="1">
      <c r="B18" s="20" t="s">
        <v>279</v>
      </c>
      <c r="C18" s="39" t="str">
        <f>IF(MAX(MAX(C6:K11),-MIN(C6:K11),ABS(C13),ABS(C14),ABS(C15),ABS(C16))&lt;=C17,"All checks within tolerance","Review failed checks")</f>
        <v>All checks within tolerance</v>
      </c>
    </row>
    <row r="19" spans="2:3" ht="15" customHeight="1">
      <c r="B19" s="9" t="s">
        <v>280</v>
      </c>
      <c r="C19" s="9" t="s">
        <v>281</v>
      </c>
    </row>
  </sheetData>
  <mergeCells count="1">
    <mergeCell ref="B2:K2"/>
  </mergeCells>
  <conditionalFormatting sqref="C6:K11">
    <cfRule type="expression" dxfId="1" priority="2">
      <formula>ABS(C6)&gt;$C$17</formula>
    </cfRule>
  </conditionalFormatting>
  <conditionalFormatting sqref="C13:C16">
    <cfRule type="expression" dxfId="0" priority="3">
      <formula>ABS(C13)&gt;$C$17</formula>
    </cfRule>
  </conditionalFormatting>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5A5A5"/>
    <pageSetUpPr fitToPage="1"/>
  </sheetPr>
  <dimension ref="B2:G25"/>
  <sheetViews>
    <sheetView showGridLines="0" zoomScaleNormal="100" workbookViewId="0">
      <selection activeCell="C25" sqref="C25:G25"/>
    </sheetView>
  </sheetViews>
  <sheetFormatPr defaultColWidth="8.7109375" defaultRowHeight="15"/>
  <cols>
    <col min="1" max="1" width="2" customWidth="1"/>
    <col min="2" max="2" width="34" customWidth="1"/>
    <col min="3" max="3" width="26" customWidth="1"/>
    <col min="4" max="4" width="44" customWidth="1"/>
    <col min="5" max="5" width="22" customWidth="1"/>
    <col min="6" max="6" width="60" customWidth="1"/>
    <col min="7" max="7" width="30" customWidth="1"/>
  </cols>
  <sheetData>
    <row r="2" spans="2:7" ht="19.5" customHeight="1">
      <c r="B2" s="7" t="s">
        <v>282</v>
      </c>
      <c r="C2" s="7"/>
      <c r="D2" s="7"/>
      <c r="E2" s="7"/>
      <c r="F2" s="7"/>
      <c r="G2" s="7"/>
    </row>
    <row r="5" spans="2:7" ht="15" customHeight="1">
      <c r="B5" s="25" t="s">
        <v>283</v>
      </c>
      <c r="C5" s="25" t="s">
        <v>284</v>
      </c>
      <c r="D5" s="25" t="s">
        <v>285</v>
      </c>
      <c r="E5" s="25" t="s">
        <v>286</v>
      </c>
      <c r="F5" s="25" t="s">
        <v>287</v>
      </c>
      <c r="G5" s="25" t="s">
        <v>288</v>
      </c>
    </row>
    <row r="6" spans="2:7" ht="30" customHeight="1">
      <c r="B6" s="11" t="s">
        <v>289</v>
      </c>
      <c r="C6" s="11" t="s">
        <v>290</v>
      </c>
      <c r="D6" s="11" t="s">
        <v>291</v>
      </c>
      <c r="E6" s="11" t="s">
        <v>292</v>
      </c>
      <c r="F6" s="11" t="s">
        <v>293</v>
      </c>
      <c r="G6" s="11" t="s">
        <v>294</v>
      </c>
    </row>
    <row r="7" spans="2:7" ht="30" customHeight="1">
      <c r="B7" s="11" t="s">
        <v>295</v>
      </c>
      <c r="C7" s="11" t="s">
        <v>296</v>
      </c>
      <c r="D7" s="11" t="s">
        <v>297</v>
      </c>
      <c r="E7" s="11" t="s">
        <v>292</v>
      </c>
      <c r="F7" s="11" t="s">
        <v>298</v>
      </c>
      <c r="G7" s="11" t="s">
        <v>299</v>
      </c>
    </row>
    <row r="8" spans="2:7" ht="30" customHeight="1">
      <c r="B8" s="11" t="s">
        <v>300</v>
      </c>
      <c r="C8" s="11" t="s">
        <v>301</v>
      </c>
      <c r="D8" s="11" t="s">
        <v>302</v>
      </c>
      <c r="E8" s="11" t="s">
        <v>303</v>
      </c>
      <c r="F8" s="11" t="s">
        <v>304</v>
      </c>
      <c r="G8" s="11" t="s">
        <v>305</v>
      </c>
    </row>
    <row r="9" spans="2:7" ht="30" customHeight="1">
      <c r="B9" s="11" t="s">
        <v>306</v>
      </c>
      <c r="C9" s="11" t="s">
        <v>307</v>
      </c>
      <c r="D9" s="11" t="s">
        <v>308</v>
      </c>
      <c r="E9" s="11" t="s">
        <v>309</v>
      </c>
      <c r="F9" s="11" t="s">
        <v>310</v>
      </c>
      <c r="G9" s="11" t="s">
        <v>311</v>
      </c>
    </row>
    <row r="10" spans="2:7" ht="30" customHeight="1">
      <c r="B10" s="11" t="s">
        <v>312</v>
      </c>
      <c r="C10" s="11" t="s">
        <v>313</v>
      </c>
      <c r="D10" s="11" t="s">
        <v>314</v>
      </c>
      <c r="E10" s="11" t="s">
        <v>315</v>
      </c>
      <c r="F10" s="11" t="s">
        <v>316</v>
      </c>
      <c r="G10" s="11" t="s">
        <v>311</v>
      </c>
    </row>
    <row r="11" spans="2:7" ht="30" customHeight="1">
      <c r="B11" s="11" t="s">
        <v>317</v>
      </c>
      <c r="C11" s="11" t="s">
        <v>318</v>
      </c>
      <c r="D11" s="11" t="s">
        <v>319</v>
      </c>
      <c r="E11" s="11" t="s">
        <v>320</v>
      </c>
      <c r="F11" s="11" t="s">
        <v>321</v>
      </c>
      <c r="G11" s="11" t="s">
        <v>311</v>
      </c>
    </row>
    <row r="12" spans="2:7" ht="30" customHeight="1">
      <c r="B12" s="11" t="s">
        <v>322</v>
      </c>
      <c r="C12" s="11" t="s">
        <v>323</v>
      </c>
      <c r="D12" s="11" t="s">
        <v>324</v>
      </c>
      <c r="E12" s="11" t="s">
        <v>325</v>
      </c>
      <c r="F12" s="11" t="s">
        <v>326</v>
      </c>
      <c r="G12" s="11" t="s">
        <v>327</v>
      </c>
    </row>
    <row r="13" spans="2:7" ht="30" customHeight="1">
      <c r="B13" s="11" t="s">
        <v>328</v>
      </c>
      <c r="C13" s="11" t="s">
        <v>323</v>
      </c>
      <c r="D13" s="11" t="s">
        <v>329</v>
      </c>
      <c r="E13" s="11" t="s">
        <v>325</v>
      </c>
      <c r="F13" s="11" t="s">
        <v>330</v>
      </c>
      <c r="G13" s="11" t="s">
        <v>327</v>
      </c>
    </row>
    <row r="14" spans="2:7" ht="30" customHeight="1">
      <c r="B14" s="11" t="s">
        <v>331</v>
      </c>
      <c r="C14" s="11" t="s">
        <v>332</v>
      </c>
      <c r="D14" s="11" t="s">
        <v>333</v>
      </c>
      <c r="E14" s="11" t="s">
        <v>325</v>
      </c>
      <c r="F14" s="11" t="s">
        <v>334</v>
      </c>
      <c r="G14" s="11" t="s">
        <v>335</v>
      </c>
    </row>
    <row r="15" spans="2:7" ht="30" customHeight="1">
      <c r="B15" s="11" t="s">
        <v>336</v>
      </c>
      <c r="C15" s="11" t="s">
        <v>332</v>
      </c>
      <c r="D15" s="11" t="s">
        <v>337</v>
      </c>
      <c r="E15" s="11" t="s">
        <v>325</v>
      </c>
      <c r="F15" s="11" t="s">
        <v>338</v>
      </c>
      <c r="G15" s="11" t="s">
        <v>339</v>
      </c>
    </row>
    <row r="18" spans="2:7" ht="15" customHeight="1">
      <c r="B18" s="6" t="s">
        <v>340</v>
      </c>
      <c r="C18" s="6"/>
      <c r="D18" s="6"/>
      <c r="E18" s="6"/>
      <c r="F18" s="6"/>
      <c r="G18" s="6"/>
    </row>
    <row r="19" spans="2:7" ht="30" customHeight="1">
      <c r="B19" s="58" t="s">
        <v>36</v>
      </c>
      <c r="C19" s="5" t="s">
        <v>341</v>
      </c>
      <c r="D19" s="5"/>
      <c r="E19" s="5"/>
      <c r="F19" s="5"/>
      <c r="G19" s="5"/>
    </row>
    <row r="20" spans="2:7" ht="30" customHeight="1">
      <c r="B20" s="58" t="s">
        <v>342</v>
      </c>
      <c r="C20" s="5" t="s">
        <v>343</v>
      </c>
      <c r="D20" s="5"/>
      <c r="E20" s="5"/>
      <c r="F20" s="5"/>
      <c r="G20" s="5"/>
    </row>
    <row r="21" spans="2:7" ht="30" customHeight="1">
      <c r="B21" s="58" t="s">
        <v>344</v>
      </c>
      <c r="C21" s="5" t="s">
        <v>345</v>
      </c>
      <c r="D21" s="5"/>
      <c r="E21" s="5"/>
      <c r="F21" s="5"/>
      <c r="G21" s="5"/>
    </row>
    <row r="22" spans="2:7" ht="30" customHeight="1">
      <c r="B22" s="58" t="s">
        <v>346</v>
      </c>
      <c r="C22" s="5" t="s">
        <v>347</v>
      </c>
      <c r="D22" s="5"/>
      <c r="E22" s="5"/>
      <c r="F22" s="5"/>
      <c r="G22" s="5"/>
    </row>
    <row r="23" spans="2:7" ht="30" customHeight="1">
      <c r="B23" s="58" t="s">
        <v>348</v>
      </c>
      <c r="C23" s="5" t="s">
        <v>349</v>
      </c>
      <c r="D23" s="5"/>
      <c r="E23" s="5"/>
      <c r="F23" s="5"/>
      <c r="G23" s="5"/>
    </row>
    <row r="24" spans="2:7" ht="30" customHeight="1">
      <c r="B24" s="58" t="s">
        <v>350</v>
      </c>
      <c r="C24" s="5" t="s">
        <v>351</v>
      </c>
      <c r="D24" s="5"/>
      <c r="E24" s="5"/>
      <c r="F24" s="5"/>
      <c r="G24" s="5"/>
    </row>
    <row r="25" spans="2:7" ht="30" customHeight="1">
      <c r="B25" s="58" t="s">
        <v>352</v>
      </c>
      <c r="C25" s="5" t="s">
        <v>353</v>
      </c>
      <c r="D25" s="5"/>
      <c r="E25" s="5"/>
      <c r="F25" s="5"/>
      <c r="G25" s="5"/>
    </row>
  </sheetData>
  <mergeCells count="9">
    <mergeCell ref="C22:G22"/>
    <mergeCell ref="C23:G23"/>
    <mergeCell ref="C24:G24"/>
    <mergeCell ref="C25:G25"/>
    <mergeCell ref="B2:G2"/>
    <mergeCell ref="B18:G18"/>
    <mergeCell ref="C19:G19"/>
    <mergeCell ref="C20:G20"/>
    <mergeCell ref="C21:G21"/>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Micron Technology (MU) — Three-Statement Model and DCF</dc:title>
  <dc:subject/>
  <dc:creator/>
  <cp:keywords/>
  <dc:description/>
  <cp:lastModifiedBy/>
  <cp:revision>0</cp:revision>
  <dcterms:created xsi:type="dcterms:W3CDTF">2026-09-15T05:18:37Z</dcterms:created>
  <dcterms:modified xsi:type="dcterms:W3CDTF">2026-09-16T08:07:22Z</dcterms:modified>
  <cp:category/>
  <cp:contentStatus/>
</cp:coreProperties>
</file>